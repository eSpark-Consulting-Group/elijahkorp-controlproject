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elijahkorp-controlproject\Design_files\Control_Board\Deliverables\BOM\"/>
    </mc:Choice>
  </mc:AlternateContent>
  <bookViews>
    <workbookView xWindow="28680" yWindow="-120" windowWidth="29040" windowHeight="15840"/>
  </bookViews>
  <sheets>
    <sheet name="5 Boards" sheetId="1" r:id="rId1"/>
    <sheet name="10 Boards" sheetId="2" r:id="rId2"/>
  </sheets>
  <calcPr calcId="162913"/>
</workbook>
</file>

<file path=xl/calcChain.xml><?xml version="1.0" encoding="utf-8"?>
<calcChain xmlns="http://schemas.openxmlformats.org/spreadsheetml/2006/main">
  <c r="Q48" i="2" l="1"/>
  <c r="Q48" i="1"/>
  <c r="M42" i="2"/>
  <c r="M43" i="2"/>
  <c r="Q43" i="2"/>
  <c r="B43" i="2"/>
  <c r="Q42" i="2"/>
  <c r="B42" i="2"/>
  <c r="Q43" i="1"/>
  <c r="M43" i="1"/>
  <c r="B43" i="1"/>
  <c r="Q42" i="1"/>
  <c r="M42" i="1"/>
  <c r="B42" i="1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4" i="2"/>
  <c r="M46" i="2"/>
  <c r="M47" i="2"/>
  <c r="M10" i="2"/>
  <c r="Q49" i="2" l="1"/>
  <c r="Q47" i="2"/>
  <c r="B47" i="2"/>
  <c r="Q46" i="2"/>
  <c r="B46" i="2"/>
  <c r="Q45" i="2"/>
  <c r="B45" i="2"/>
  <c r="Q44" i="2"/>
  <c r="B44" i="2"/>
  <c r="Q41" i="2"/>
  <c r="B41" i="2"/>
  <c r="Q40" i="2"/>
  <c r="B40" i="2"/>
  <c r="Q39" i="2"/>
  <c r="B39" i="2"/>
  <c r="Q38" i="2"/>
  <c r="B38" i="2"/>
  <c r="Q37" i="2"/>
  <c r="B37" i="2"/>
  <c r="Q36" i="2"/>
  <c r="B36" i="2"/>
  <c r="Q35" i="2"/>
  <c r="B35" i="2"/>
  <c r="Q34" i="2"/>
  <c r="B34" i="2"/>
  <c r="Q33" i="2"/>
  <c r="B33" i="2"/>
  <c r="Q32" i="2"/>
  <c r="B32" i="2"/>
  <c r="Q31" i="2"/>
  <c r="B31" i="2"/>
  <c r="Q30" i="2"/>
  <c r="B30" i="2"/>
  <c r="Q29" i="2"/>
  <c r="B29" i="2"/>
  <c r="B28" i="2"/>
  <c r="Q27" i="2"/>
  <c r="B27" i="2"/>
  <c r="Q26" i="2"/>
  <c r="B26" i="2"/>
  <c r="Q25" i="2"/>
  <c r="B25" i="2"/>
  <c r="Q24" i="2"/>
  <c r="B24" i="2"/>
  <c r="B23" i="2"/>
  <c r="Q22" i="2"/>
  <c r="B22" i="2"/>
  <c r="Q21" i="2"/>
  <c r="B21" i="2"/>
  <c r="Q20" i="2"/>
  <c r="B20" i="2"/>
  <c r="Q19" i="2"/>
  <c r="B19" i="2"/>
  <c r="Q18" i="2"/>
  <c r="B18" i="2"/>
  <c r="Q17" i="2"/>
  <c r="B17" i="2"/>
  <c r="Q16" i="2"/>
  <c r="B16" i="2"/>
  <c r="Q15" i="2"/>
  <c r="B15" i="2"/>
  <c r="Q14" i="2"/>
  <c r="B14" i="2"/>
  <c r="Q13" i="2"/>
  <c r="B13" i="2"/>
  <c r="Q12" i="2"/>
  <c r="B12" i="2"/>
  <c r="Q11" i="2"/>
  <c r="B11" i="2"/>
  <c r="Q10" i="2"/>
  <c r="B10" i="2"/>
  <c r="B44" i="1"/>
  <c r="B45" i="1"/>
  <c r="B46" i="1"/>
  <c r="B47" i="1"/>
  <c r="Q44" i="1"/>
  <c r="Q45" i="1"/>
  <c r="Q46" i="1"/>
  <c r="Q47" i="1"/>
  <c r="Q41" i="1"/>
  <c r="M44" i="1"/>
  <c r="M45" i="1"/>
  <c r="M46" i="1"/>
  <c r="M47" i="1"/>
  <c r="M41" i="1" l="1"/>
  <c r="B41" i="1"/>
  <c r="Q40" i="1"/>
  <c r="M40" i="1"/>
  <c r="B40" i="1"/>
  <c r="Q39" i="1"/>
  <c r="M39" i="1"/>
  <c r="B39" i="1"/>
  <c r="Q38" i="1"/>
  <c r="M38" i="1"/>
  <c r="B38" i="1"/>
  <c r="Q37" i="1"/>
  <c r="M37" i="1"/>
  <c r="B37" i="1"/>
  <c r="Q36" i="1"/>
  <c r="M36" i="1"/>
  <c r="B36" i="1"/>
  <c r="Q35" i="1"/>
  <c r="M35" i="1"/>
  <c r="B35" i="1"/>
  <c r="Q34" i="1"/>
  <c r="M34" i="1"/>
  <c r="B34" i="1"/>
  <c r="Q33" i="1"/>
  <c r="M33" i="1"/>
  <c r="B33" i="1"/>
  <c r="Q32" i="1"/>
  <c r="M32" i="1"/>
  <c r="B32" i="1"/>
  <c r="Q31" i="1"/>
  <c r="M31" i="1"/>
  <c r="B31" i="1"/>
  <c r="Q30" i="1"/>
  <c r="M30" i="1"/>
  <c r="B30" i="1"/>
  <c r="Q29" i="1"/>
  <c r="M29" i="1"/>
  <c r="B29" i="1"/>
  <c r="M28" i="1"/>
  <c r="B28" i="1"/>
  <c r="Q27" i="1"/>
  <c r="M27" i="1"/>
  <c r="B27" i="1"/>
  <c r="Q26" i="1"/>
  <c r="M26" i="1"/>
  <c r="B26" i="1"/>
  <c r="Q25" i="1"/>
  <c r="M25" i="1"/>
  <c r="B25" i="1"/>
  <c r="Q24" i="1"/>
  <c r="M24" i="1"/>
  <c r="B24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49" i="1" l="1"/>
  <c r="Q11" i="1"/>
  <c r="Q10" i="1"/>
  <c r="M11" i="1"/>
  <c r="M10" i="1"/>
  <c r="B11" i="1"/>
  <c r="B10" i="1"/>
</calcChain>
</file>

<file path=xl/sharedStrings.xml><?xml version="1.0" encoding="utf-8"?>
<sst xmlns="http://schemas.openxmlformats.org/spreadsheetml/2006/main" count="818" uniqueCount="239">
  <si>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</si>
  <si>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</si>
  <si>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</si>
  <si>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</si>
  <si>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</si>
  <si>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</si>
  <si>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</si>
  <si>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</si>
  <si>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</si>
  <si>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Capacitor</t>
  </si>
  <si>
    <t>Diode</t>
  </si>
  <si>
    <t>Fuse</t>
  </si>
  <si>
    <t>Ferrite Bead</t>
  </si>
  <si>
    <t>Terminal Block</t>
  </si>
  <si>
    <t>USB</t>
  </si>
  <si>
    <t>Header</t>
  </si>
  <si>
    <t>Through Hole Pads</t>
  </si>
  <si>
    <t>Connector</t>
  </si>
  <si>
    <t>Relay</t>
  </si>
  <si>
    <t>LED</t>
  </si>
  <si>
    <t>TEST POINT</t>
  </si>
  <si>
    <t>Resistor</t>
  </si>
  <si>
    <t>Switch</t>
  </si>
  <si>
    <t>IC</t>
  </si>
  <si>
    <t>Crystal</t>
  </si>
  <si>
    <t>Designator</t>
  </si>
  <si>
    <t>C1, C2, C5, C7, C13, C14, C15, C16</t>
  </si>
  <si>
    <t>C3, C6</t>
  </si>
  <si>
    <t>C4</t>
  </si>
  <si>
    <t>C8, C11</t>
  </si>
  <si>
    <t>C9, C12</t>
  </si>
  <si>
    <t>C10</t>
  </si>
  <si>
    <t>D1</t>
  </si>
  <si>
    <t>D2</t>
  </si>
  <si>
    <t>F1</t>
  </si>
  <si>
    <t>FB1</t>
  </si>
  <si>
    <t>J1, J2, J3</t>
  </si>
  <si>
    <t>J4</t>
  </si>
  <si>
    <t>J5, J6</t>
  </si>
  <si>
    <t>J7, J8, J9, J10, J12</t>
  </si>
  <si>
    <t>J11</t>
  </si>
  <si>
    <t>J13</t>
  </si>
  <si>
    <t>K1, K2</t>
  </si>
  <si>
    <t>LED6</t>
  </si>
  <si>
    <t>P1, P2, P3</t>
  </si>
  <si>
    <t>R1, R2</t>
  </si>
  <si>
    <t>R3</t>
  </si>
  <si>
    <t>R4, R5, R9, R10, R11, R12, R18</t>
  </si>
  <si>
    <t>R6</t>
  </si>
  <si>
    <t>R7</t>
  </si>
  <si>
    <t>R8</t>
  </si>
  <si>
    <t>R13, R14, R15, R16, R17</t>
  </si>
  <si>
    <t>SW1</t>
  </si>
  <si>
    <t>U1</t>
  </si>
  <si>
    <t>U2</t>
  </si>
  <si>
    <t>U3</t>
  </si>
  <si>
    <t>X1</t>
  </si>
  <si>
    <t>X2</t>
  </si>
  <si>
    <t>Description</t>
  </si>
  <si>
    <t>CAP CER 10UF 25V X5R 0603</t>
  </si>
  <si>
    <t>25V 22nF X7R 0603 Multilayer Ceramic Capacitors MLCC - SMD/SMT ROHS</t>
  </si>
  <si>
    <t>CAP 30pF NP0 0603 50 V ±5 % SMD</t>
  </si>
  <si>
    <t>CAP CER 15PF 50V C0G/NPO 0603</t>
  </si>
  <si>
    <t>1uF 25V X5R ±20% 0603 Multilayer Ceramic Capacitors MLCC - SMD/SMT ROHS</t>
  </si>
  <si>
    <t>TVS DIODE 5VWM 6.3VC DSN0603-2</t>
  </si>
  <si>
    <t>PTC RESET FUSE 6V 3A 1206</t>
  </si>
  <si>
    <t>FERRITE BEAD 120 OHM 1206 1LN</t>
  </si>
  <si>
    <t>Tin 2x1P 2 1 7.62mm -40℃~+105℃ 20A 300V Green 12~22 Straight pin Copper Alloy 2.5 Plugin,P=7.62mm Barrier Terminal Blocks ROHS</t>
  </si>
  <si>
    <t>1.8A USB 2.0 1 260℃ Surface Mount 5P Female -40℃~+85℃ Gold Copper Alloy Micro-B SMD USB Connectors ROHS</t>
  </si>
  <si>
    <t>Straight 2.54mm Black Brass 1x4P Plugin,P=2.54mm Pin Headers ROHS</t>
  </si>
  <si>
    <t>Wire Connecting Pads</t>
  </si>
  <si>
    <t>1x4P 1 2mm Male pin 4 -25℃~+85℃ 2A Surface Mount SMD,P=2mm Wire To Board / Wire To Wire Connector ROHS_x000D_
C3029442</t>
  </si>
  <si>
    <t>Battery base CR2032 SMD Battery Connectors ROHS</t>
  </si>
  <si>
    <t>5V 10A 20A@14VAC SPDT (1 Form C) 5 Plugin,12.4x16mm Power Relays ROHS</t>
  </si>
  <si>
    <t>Colorless transparence -30℃~+85℃ Positive post 617nm~621nm Red 120° 55mW 0603 Light Emitting Diodes (LED) ROHS</t>
  </si>
  <si>
    <t>Test Point ON</t>
  </si>
  <si>
    <t>100mW Thick Film Resistors ±100ppm/℃ ±1% 20Ω 0603 Chip Resistor - Surface Mount ROHS</t>
  </si>
  <si>
    <t>RES SMD 10K OHM 0.1% 1/10W 0603</t>
  </si>
  <si>
    <t>100mW Thick Film Resistors ±100ppm/℃ ±1% 60.4Ω 0603 Chip Resistor - Surface Mount ROHS</t>
  </si>
  <si>
    <t>RES SMD 10K Ohm 1% 1/10W 0603</t>
  </si>
  <si>
    <t>100mW Thick Film Resistors ±100ppm/℃ ±1% 1MΩ 0603 Chip Resistor - Surface Mount ROHS</t>
  </si>
  <si>
    <t>RES  SMD 330R 100 mW 0603</t>
  </si>
  <si>
    <t>SWITCH TACTILE SPST-NO 0.05A 12V</t>
  </si>
  <si>
    <t>IC REG LDO 3.3V 0.3A SOT23-5</t>
  </si>
  <si>
    <t>SOT-23-6 Darlington Transistor Arrays ROHS</t>
  </si>
  <si>
    <t>8MHz 20pF ±20ppm HC-49S Crystals ROHS</t>
  </si>
  <si>
    <t>32.768kHz 12.5pF ±20ppm MC-306 Crystals ROHS</t>
  </si>
  <si>
    <t>Footprint</t>
  </si>
  <si>
    <t>Cap-0603</t>
  </si>
  <si>
    <t>DSN0603-2</t>
  </si>
  <si>
    <t>SOT-23</t>
  </si>
  <si>
    <t>Fuse 1206 (3216 Metric)</t>
  </si>
  <si>
    <t>IND-1206</t>
  </si>
  <si>
    <t>MX7620-7.62-02P-GN01-Cu-S-A</t>
  </si>
  <si>
    <t>U254-051T-4BH83-F1S</t>
  </si>
  <si>
    <t>HDR1X4_</t>
  </si>
  <si>
    <t>5P Through Hole Pads</t>
  </si>
  <si>
    <t>WAFER-PH2.0-4PWB</t>
  </si>
  <si>
    <t>CR2032-BS-6-1</t>
  </si>
  <si>
    <t>SRA-05VDC-CL</t>
  </si>
  <si>
    <t>LED-0603</t>
  </si>
  <si>
    <t>Test-point</t>
  </si>
  <si>
    <t>Res-0603</t>
  </si>
  <si>
    <t>B3U-1000P</t>
  </si>
  <si>
    <t>SOT-23-5</t>
  </si>
  <si>
    <t>SOT-23-6</t>
  </si>
  <si>
    <t>48-LQFP (7x7)_</t>
  </si>
  <si>
    <t>71008000RW1</t>
  </si>
  <si>
    <t>MC-306</t>
  </si>
  <si>
    <t>Manufacturer Part Number</t>
  </si>
  <si>
    <t>CS0603KRX7R8BB104</t>
  </si>
  <si>
    <t>CL10A106MA8NRNC</t>
  </si>
  <si>
    <t>CC0603JRNPO9BN300</t>
  </si>
  <si>
    <t>CC0603JRNPO9BN150</t>
  </si>
  <si>
    <t>PESD5V0H1BSFYL</t>
  </si>
  <si>
    <t>1206L300SLTHYR</t>
  </si>
  <si>
    <t>BLM31PG121SN1L</t>
  </si>
  <si>
    <t>B-2100S04P-A110</t>
  </si>
  <si>
    <t>RT0603BRD0710KL</t>
  </si>
  <si>
    <t>RC0603FR-0710KL</t>
  </si>
  <si>
    <t>RC0603JR-07330RL</t>
  </si>
  <si>
    <t>RT9193-33GB</t>
  </si>
  <si>
    <t>STM32F103C8T6</t>
  </si>
  <si>
    <t>Manufacturer</t>
  </si>
  <si>
    <t>Yageo</t>
  </si>
  <si>
    <t>Samsung</t>
  </si>
  <si>
    <t>CCTC</t>
  </si>
  <si>
    <t>Nexperia</t>
  </si>
  <si>
    <t>Shandong Jingdao Microelectronics</t>
  </si>
  <si>
    <t>Littelfuse</t>
  </si>
  <si>
    <t>Murata</t>
  </si>
  <si>
    <t>Ckmtw</t>
  </si>
  <si>
    <t>Q&amp;J</t>
  </si>
  <si>
    <t>Ningbo Songle Relay</t>
  </si>
  <si>
    <t>XINGLIGHT</t>
  </si>
  <si>
    <t>UNI-ROYAL(Uniroyal Elec)</t>
  </si>
  <si>
    <t>Omron</t>
  </si>
  <si>
    <t>Richtek</t>
  </si>
  <si>
    <t>LANKE</t>
  </si>
  <si>
    <t>STMicroelectronics</t>
  </si>
  <si>
    <t>Seiko Epson</t>
  </si>
  <si>
    <t>LCSC Part Number</t>
  </si>
  <si>
    <t>C96446</t>
  </si>
  <si>
    <t>C113797</t>
  </si>
  <si>
    <t>C107037</t>
  </si>
  <si>
    <t>C477989</t>
  </si>
  <si>
    <t>C207041</t>
  </si>
  <si>
    <t>C85841</t>
  </si>
  <si>
    <t>C124378</t>
  </si>
  <si>
    <t>C99666</t>
  </si>
  <si>
    <t>C95204</t>
  </si>
  <si>
    <t>C98220</t>
  </si>
  <si>
    <t>C105879</t>
  </si>
  <si>
    <t>C231329</t>
  </si>
  <si>
    <t>0.1uF</t>
  </si>
  <si>
    <t>10uF</t>
  </si>
  <si>
    <t>22nF</t>
  </si>
  <si>
    <t>30pF</t>
  </si>
  <si>
    <t>15pF</t>
  </si>
  <si>
    <t>1uF</t>
  </si>
  <si>
    <t>BAT54C</t>
  </si>
  <si>
    <t>DNP</t>
  </si>
  <si>
    <t>20R</t>
  </si>
  <si>
    <t>1.5K</t>
  </si>
  <si>
    <t>10K</t>
  </si>
  <si>
    <t>60.4R</t>
  </si>
  <si>
    <t>1M</t>
  </si>
  <si>
    <t>330R</t>
  </si>
  <si>
    <t>LK1802</t>
  </si>
  <si>
    <t>8Mhz</t>
  </si>
  <si>
    <t>32.768kHz</t>
  </si>
  <si>
    <t>Quantity</t>
  </si>
  <si>
    <t>Bill of Materials for Project [Control_Board-v1.0]</t>
  </si>
  <si>
    <t>Control_Board-v1.0</t>
  </si>
  <si>
    <t>Alternate Part Number</t>
  </si>
  <si>
    <t>Value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</si>
  <si>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</si>
  <si>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</si>
  <si>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</si>
  <si>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</si>
  <si>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</si>
  <si>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</si>
  <si>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</si>
  <si>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FN18X223K250PSG</t>
  </si>
  <si>
    <t>PSA(Prosperity Dielectrics)</t>
  </si>
  <si>
    <t>TCC0603X5R105M250CT</t>
  </si>
  <si>
    <t>Custom</t>
  </si>
  <si>
    <t>MAX</t>
  </si>
  <si>
    <t>XKB Connectivity</t>
  </si>
  <si>
    <t>-</t>
  </si>
  <si>
    <t>XUNPU</t>
  </si>
  <si>
    <t>XL-1608SURC-06</t>
  </si>
  <si>
    <t>0603WAF200JT5E</t>
  </si>
  <si>
    <t>0603WAF1501T5E</t>
  </si>
  <si>
    <t>RTT0360R4FTP</t>
  </si>
  <si>
    <t>RALEC</t>
  </si>
  <si>
    <t>0603WAF1004T5E</t>
  </si>
  <si>
    <t>HD</t>
  </si>
  <si>
    <t>C577419</t>
  </si>
  <si>
    <t>CAP CER 0.1UF 25V X7R 0603</t>
  </si>
  <si>
    <t>C2929161</t>
  </si>
  <si>
    <t>LCSC</t>
  </si>
  <si>
    <t>C6266891</t>
  </si>
  <si>
    <t>C727125</t>
  </si>
  <si>
    <t>30V Dual Common Cathode 1V@100mA 200mA SOT-23 Schottky Barrier Diodes (SBD) ROHS</t>
  </si>
  <si>
    <t>C5188497</t>
  </si>
  <si>
    <t>C397452</t>
  </si>
  <si>
    <t>C3029442</t>
  </si>
  <si>
    <t>C70377</t>
  </si>
  <si>
    <t>C965799</t>
  </si>
  <si>
    <t>C22950</t>
  </si>
  <si>
    <t>C22843</t>
  </si>
  <si>
    <t>C103744</t>
  </si>
  <si>
    <t>C22935</t>
  </si>
  <si>
    <t>C15651</t>
  </si>
  <si>
    <t>C2984831</t>
  </si>
  <si>
    <t>C8734</t>
  </si>
  <si>
    <t>C655216</t>
  </si>
  <si>
    <t>C2650464</t>
  </si>
  <si>
    <t>Mainstream Performance line, Arm</t>
  </si>
  <si>
    <t>Peripheral</t>
  </si>
  <si>
    <t>10A 250V C13 C14 Waterproof Black electric bicycle car wired Receptacle Connector battery Charging AC power outlet Socket</t>
  </si>
  <si>
    <t>Network cables ROHS</t>
  </si>
  <si>
    <t>LDS200-100726-200-4P</t>
  </si>
  <si>
    <t xml:space="preserve">DEALON </t>
  </si>
  <si>
    <t>162 16X2 1602 AIP31068L Serial I2C IIC Character LCD Module Display Screen LCM for Arduino RaspBerry Pi PICO ESP32 Jetson Nano</t>
  </si>
  <si>
    <t>Aliexpress</t>
  </si>
  <si>
    <t>C2999019</t>
  </si>
  <si>
    <t>Quantity (10 Boards)</t>
  </si>
  <si>
    <t>MOQ (10 Boards)</t>
  </si>
  <si>
    <t>Unit Cost (10 Boards)</t>
  </si>
  <si>
    <t>Total Cost (10 Boards)</t>
  </si>
  <si>
    <t>CR2032</t>
  </si>
  <si>
    <t>Original For Panasonic CR2032 CR 2032 DL2032 ECR2032 Lithium Battery Watch Calculator Car Key Remote Control Button Coin Cells</t>
  </si>
  <si>
    <t>Panasonic</t>
  </si>
  <si>
    <t>100mW Thick Film Resistors ±100ppm/℃ ±1% 1.5kΩ 0603 Chip Resistor - Surface Mount ROHS</t>
  </si>
  <si>
    <t>19mm Waterproof Momentary Latching Metal Doorbell Bell Horn Push Button Switch LED Ring Mark Fixation 5V 12V 24V 220 Lock Reset</t>
  </si>
  <si>
    <t>White LED Button</t>
  </si>
  <si>
    <t>Red LED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</si>
</sst>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5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charset val="134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83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1" xfId="0" applyNumberFormat="1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  <xf numFmtId="0" fontId="22" fillId="2" borderId="16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3" fillId="2" borderId="16" xfId="1" applyFill="1" applyBorder="1" applyAlignment="1">
      <alignment horizontal="center" vertical="center" wrapText="1"/>
    </xf>
    <xf numFmtId="0" fontId="23" fillId="2" borderId="17" xfId="1" applyFill="1" applyBorder="1" applyAlignment="1">
      <alignment horizontal="center" vertical="center" wrapText="1"/>
    </xf>
    <xf numFmtId="0" fontId="24" fillId="2" borderId="17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165" fontId="24" fillId="2" borderId="17" xfId="0" applyNumberFormat="1" applyFont="1" applyFill="1" applyBorder="1" applyAlignment="1">
      <alignment horizontal="center" vertical="center" wrapText="1"/>
    </xf>
    <xf numFmtId="0" fontId="24" fillId="2" borderId="22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19" fillId="2" borderId="16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793075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Pin-Headers_Ckmtw-Shenzhen-Cankemeng-B-2100S04P-A110_C124378.html" TargetMode="External"/><Relationship Id="rId18" Type="http://schemas.openxmlformats.org/officeDocument/2006/relationships/hyperlink" Target="https://www.lcsc.com/product-detail/Chip-Resistor-Surface-Mount_UNI-ROYAL-Uniroyal-Elec-0603WAF200JT5E_C22950.html" TargetMode="External"/><Relationship Id="rId26" Type="http://schemas.openxmlformats.org/officeDocument/2006/relationships/hyperlink" Target="https://www.lcsc.com/product-detail/Linear-Voltage-Regulators-LDO_Richtek-Tech-RT9193-33GB_C15651.html" TargetMode="External"/><Relationship Id="rId21" Type="http://schemas.openxmlformats.org/officeDocument/2006/relationships/hyperlink" Target="https://www.lcsc.com/product-detail/Chip-Resistor-Surface-Mount_RALEC-RTT0360R4FTP_C103744.html" TargetMode="External"/><Relationship Id="rId34" Type="http://schemas.openxmlformats.org/officeDocument/2006/relationships/hyperlink" Target="https://vi.aliexpress.com/item/1005005930259581.html?spm=a2g0o.productlist.main.25.5e4741f2svr9IZ&amp;algo_pvid=63a3c035-4d59-4010-a7d6-bffc1e169a76&amp;algo_exp_id=63a3c035-4d59-4010-a7d6-bffc1e169a76-12&amp;pdp_npi=4%40dis%21USD%216.00%213.18%21%21%216.00%21%21%402" TargetMode="External"/><Relationship Id="rId7" Type="http://schemas.openxmlformats.org/officeDocument/2006/relationships/hyperlink" Target="https://www.lcsc.com/product-detail/Multilayer-Ceramic-Capacitors-MLCC-SMD-SMT_YAGEO-CC0603JRNPO9BN300_C113797.html" TargetMode="External"/><Relationship Id="rId12" Type="http://schemas.openxmlformats.org/officeDocument/2006/relationships/hyperlink" Target="https://www.lcsc.com/product-detail/Ferrite-Beads_Murata-Electronics-BLM31PG121SN1L_C85841.html" TargetMode="External"/><Relationship Id="rId17" Type="http://schemas.openxmlformats.org/officeDocument/2006/relationships/hyperlink" Target="https://www.lcsc.com/product-detail/Light-Emitting-Diodes-LED_XINGLIGHT-XL-1608SURC-06_C965799.html" TargetMode="External"/><Relationship Id="rId25" Type="http://schemas.openxmlformats.org/officeDocument/2006/relationships/hyperlink" Target="https://www.lcsc.com/product-detail/Tactile-Switches_Omron-Electronics-B3U-1000P_C231329.html" TargetMode="External"/><Relationship Id="rId33" Type="http://schemas.openxmlformats.org/officeDocument/2006/relationships/hyperlink" Target="https://www.aliexpress.com/item/4000386970133.html" TargetMode="External"/><Relationship Id="rId38" Type="http://schemas.openxmlformats.org/officeDocument/2006/relationships/drawing" Target="../drawings/drawing1.xml"/><Relationship Id="rId2" Type="http://schemas.openxmlformats.org/officeDocument/2006/relationships/hyperlink" Target="https://www.lcsc.com/product-detail/Schottky-Barrier-Diodes-SBD_TWGMC-BAT54C_C727125.html" TargetMode="External"/><Relationship Id="rId16" Type="http://schemas.openxmlformats.org/officeDocument/2006/relationships/hyperlink" Target="https://www.lcsc.com/product-detail/Power-Relays_Ningbo-Songle-Relay-SRA-05VDC-CL_C99666.html" TargetMode="External"/><Relationship Id="rId20" Type="http://schemas.openxmlformats.org/officeDocument/2006/relationships/hyperlink" Target="https://www.lcsc.com/product-detail/Chip-Resistor-Surface-Mount_YAGEO-RT0603BRD0710KL_C95204.html" TargetMode="External"/><Relationship Id="rId29" Type="http://schemas.openxmlformats.org/officeDocument/2006/relationships/hyperlink" Target="https://www.lcsc.com/product-detail/Crystals_HD-71008000RW1_C655216.html" TargetMode="External"/><Relationship Id="rId1" Type="http://schemas.openxmlformats.org/officeDocument/2006/relationships/hyperlink" Target="https://www.lcsc.com/product-detail/Multilayer-Ceramic-Capacitors-MLCC-SMD-SMT_PSA-Prosperity-Dielectrics-FN18X223K250PSG_C2929161.html" TargetMode="External"/><Relationship Id="rId6" Type="http://schemas.openxmlformats.org/officeDocument/2006/relationships/hyperlink" Target="https://www.lcsc.com/product-detail/Multilayer-Ceramic-Capacitors-MLCC-SMD-SMT_Samsung-Electro-Mechanics-CL10A106MA8NRNC_C96446.html" TargetMode="External"/><Relationship Id="rId11" Type="http://schemas.openxmlformats.org/officeDocument/2006/relationships/hyperlink" Target="https://www.lcsc.com/product-detail/Resettable-Fuses_Littelfuse-1206L300SLTHYR_C207041.html" TargetMode="External"/><Relationship Id="rId24" Type="http://schemas.openxmlformats.org/officeDocument/2006/relationships/hyperlink" Target="https://www.lcsc.com/product-detail/Chip-Resistor-Surface-Mount_YAGEO-RC0603JR-07330RL_C105879.html" TargetMode="External"/><Relationship Id="rId32" Type="http://schemas.openxmlformats.org/officeDocument/2006/relationships/hyperlink" Target="https://www.lcsc.com/product-detail/Network-cables_DEALON-LDS200-100726-200-4P_C2999019.html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s://www.lcsc.com/product-detail/Multilayer-Ceramic-Capacitors-MLCC-SMD-SMT_YAGEO-CS0603KRX7R8BB104_C577419.html" TargetMode="External"/><Relationship Id="rId15" Type="http://schemas.openxmlformats.org/officeDocument/2006/relationships/hyperlink" Target="https://www.lcsc.com/product-detail/Battery-Connectors_Q-J-CR2032-BS-6-1_C70377.html" TargetMode="External"/><Relationship Id="rId23" Type="http://schemas.openxmlformats.org/officeDocument/2006/relationships/hyperlink" Target="https://www.lcsc.com/product-detail/Chip-Resistor-Surface-Mount_UNI-ROYAL-Uniroyal-Elec-0603WAF1004T5E_C22935.html" TargetMode="External"/><Relationship Id="rId28" Type="http://schemas.openxmlformats.org/officeDocument/2006/relationships/hyperlink" Target="https://www.lcsc.com/product-detail/Microcontroller-Units-MCUs-MPUs-SOCs_STMicroelectronics-STM32F103C8T6_C8734.html" TargetMode="External"/><Relationship Id="rId36" Type="http://schemas.openxmlformats.org/officeDocument/2006/relationships/hyperlink" Target="https://vi.aliexpress.com/item/32899654309.html?gatewayAdapt=glo2vnm" TargetMode="External"/><Relationship Id="rId10" Type="http://schemas.openxmlformats.org/officeDocument/2006/relationships/hyperlink" Target="https://www.lcsc.com/product-detail/ESD-Protection-Devices_Nexperia-PESD5V0H1BSF_C477989.html" TargetMode="External"/><Relationship Id="rId19" Type="http://schemas.openxmlformats.org/officeDocument/2006/relationships/hyperlink" Target="https://www.lcsc.com/product-detail/Chip-Resistor-Surface-Mount_UNI-ROYAL-Uniroyal-Elec-0603WAF1501T5E_C22843.html" TargetMode="External"/><Relationship Id="rId31" Type="http://schemas.openxmlformats.org/officeDocument/2006/relationships/hyperlink" Target="https://www.aliexpress.us/item/1005004421431950.html?gatewayAdapt=4itemAdapt" TargetMode="External"/><Relationship Id="rId4" Type="http://schemas.openxmlformats.org/officeDocument/2006/relationships/hyperlink" Target="https://www.lcsc.com/product-detail/USB-Connectors_XKB-Connectivity-U254-051T-4BH83-F1S_C397452.html" TargetMode="External"/><Relationship Id="rId9" Type="http://schemas.openxmlformats.org/officeDocument/2006/relationships/hyperlink" Target="https://www.lcsc.com/product-detail/Multilayer-Ceramic-Capacitors-MLCC-SMD-SMT_CCTC-TCC0603X5R105M250CT_C6266891.html" TargetMode="External"/><Relationship Id="rId14" Type="http://schemas.openxmlformats.org/officeDocument/2006/relationships/hyperlink" Target="https://www.lcsc.com/product-detail/Wire-To-Board-Wire-To-Wire-Connector_XUNPU-WAFER-PH2-0-4PWB_C3029442.html" TargetMode="External"/><Relationship Id="rId22" Type="http://schemas.openxmlformats.org/officeDocument/2006/relationships/hyperlink" Target="https://www.lcsc.com/product-detail/Chip-Resistor-Surface-Mount_YAGEO-RC0603FR-0710KL_C98220.html" TargetMode="External"/><Relationship Id="rId27" Type="http://schemas.openxmlformats.org/officeDocument/2006/relationships/hyperlink" Target="https://www.lcsc.com/product-detail/Darlington-Transistor-Arrays_LANKE-LK1802_C2984831.html" TargetMode="External"/><Relationship Id="rId30" Type="http://schemas.openxmlformats.org/officeDocument/2006/relationships/hyperlink" Target="https://www.lcsc.com/product-detail/Crystals_Seiko-Epson-MC-306-32-7680K-A0-ROHS_C2650464.html" TargetMode="External"/><Relationship Id="rId35" Type="http://schemas.openxmlformats.org/officeDocument/2006/relationships/hyperlink" Target="https://vi.aliexpress.com/item/32899654309.html?gatewayAdapt=glo2vnm" TargetMode="External"/><Relationship Id="rId8" Type="http://schemas.openxmlformats.org/officeDocument/2006/relationships/hyperlink" Target="https://www.lcsc.com/product-detail/Multilayer-Ceramic-Capacitors-MLCC-SMD-SMT_YAGEO-CC0603JRNPO9BN150_C107037.html" TargetMode="External"/><Relationship Id="rId3" Type="http://schemas.openxmlformats.org/officeDocument/2006/relationships/hyperlink" Target="https://www.lcsc.com/product-detail/Barrier-Terminal-Blocks_MAX-MX7620-7-62-02P-GN01-Cu-S-A_C5188497.html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Pin-Headers_Ckmtw-Shenzhen-Cankemeng-B-2100S04P-A110_C124378.html" TargetMode="External"/><Relationship Id="rId18" Type="http://schemas.openxmlformats.org/officeDocument/2006/relationships/hyperlink" Target="https://www.lcsc.com/product-detail/Chip-Resistor-Surface-Mount_UNI-ROYAL-Uniroyal-Elec-0603WAF200JT5E_C22950.html" TargetMode="External"/><Relationship Id="rId26" Type="http://schemas.openxmlformats.org/officeDocument/2006/relationships/hyperlink" Target="https://www.lcsc.com/product-detail/Linear-Voltage-Regulators-LDO_Richtek-Tech-RT9193-33GB_C15651.html" TargetMode="External"/><Relationship Id="rId21" Type="http://schemas.openxmlformats.org/officeDocument/2006/relationships/hyperlink" Target="https://www.lcsc.com/product-detail/Chip-Resistor-Surface-Mount_RALEC-RTT0360R4FTP_C103744.html" TargetMode="External"/><Relationship Id="rId34" Type="http://schemas.openxmlformats.org/officeDocument/2006/relationships/hyperlink" Target="https://vi.aliexpress.com/item/1005005930259581.html?spm=a2g0o.productlist.main.25.5e4741f2svr9IZ&amp;algo_pvid=63a3c035-4d59-4010-a7d6-bffc1e169a76&amp;algo_exp_id=63a3c035-4d59-4010-a7d6-bffc1e169a76-12&amp;pdp_npi=4%40dis%21USD%216.00%213.18%21%21%216.00%21%21%402" TargetMode="External"/><Relationship Id="rId7" Type="http://schemas.openxmlformats.org/officeDocument/2006/relationships/hyperlink" Target="https://www.lcsc.com/product-detail/Multilayer-Ceramic-Capacitors-MLCC-SMD-SMT_YAGEO-CC0603JRNPO9BN300_C113797.html" TargetMode="External"/><Relationship Id="rId12" Type="http://schemas.openxmlformats.org/officeDocument/2006/relationships/hyperlink" Target="https://www.lcsc.com/product-detail/Ferrite-Beads_Murata-Electronics-BLM31PG121SN1L_C85841.html" TargetMode="External"/><Relationship Id="rId17" Type="http://schemas.openxmlformats.org/officeDocument/2006/relationships/hyperlink" Target="https://www.lcsc.com/product-detail/Light-Emitting-Diodes-LED_XINGLIGHT-XL-1608SURC-06_C965799.html" TargetMode="External"/><Relationship Id="rId25" Type="http://schemas.openxmlformats.org/officeDocument/2006/relationships/hyperlink" Target="https://www.lcsc.com/product-detail/Tactile-Switches_Omron-Electronics-B3U-1000P_C231329.html" TargetMode="External"/><Relationship Id="rId33" Type="http://schemas.openxmlformats.org/officeDocument/2006/relationships/hyperlink" Target="https://www.aliexpress.com/item/4000386970133.html" TargetMode="External"/><Relationship Id="rId2" Type="http://schemas.openxmlformats.org/officeDocument/2006/relationships/hyperlink" Target="https://www.lcsc.com/product-detail/Schottky-Barrier-Diodes-SBD_TWGMC-BAT54C_C727125.html" TargetMode="External"/><Relationship Id="rId16" Type="http://schemas.openxmlformats.org/officeDocument/2006/relationships/hyperlink" Target="https://www.lcsc.com/product-detail/Power-Relays_Ningbo-Songle-Relay-SRA-05VDC-CL_C99666.html" TargetMode="External"/><Relationship Id="rId20" Type="http://schemas.openxmlformats.org/officeDocument/2006/relationships/hyperlink" Target="https://www.lcsc.com/product-detail/Chip-Resistor-Surface-Mount_YAGEO-RT0603BRD0710KL_C95204.html" TargetMode="External"/><Relationship Id="rId29" Type="http://schemas.openxmlformats.org/officeDocument/2006/relationships/hyperlink" Target="https://www.lcsc.com/product-detail/Crystals_HD-71008000RW1_C655216.html" TargetMode="External"/><Relationship Id="rId1" Type="http://schemas.openxmlformats.org/officeDocument/2006/relationships/hyperlink" Target="https://www.lcsc.com/product-detail/Multilayer-Ceramic-Capacitors-MLCC-SMD-SMT_PSA-Prosperity-Dielectrics-FN18X223K250PSG_C2929161.html" TargetMode="External"/><Relationship Id="rId6" Type="http://schemas.openxmlformats.org/officeDocument/2006/relationships/hyperlink" Target="https://www.lcsc.com/product-detail/Multilayer-Ceramic-Capacitors-MLCC-SMD-SMT_Samsung-Electro-Mechanics-CL10A106MA8NRNC_C96446.html" TargetMode="External"/><Relationship Id="rId11" Type="http://schemas.openxmlformats.org/officeDocument/2006/relationships/hyperlink" Target="https://www.lcsc.com/product-detail/Resettable-Fuses_Littelfuse-1206L300SLTHYR_C207041.html" TargetMode="External"/><Relationship Id="rId24" Type="http://schemas.openxmlformats.org/officeDocument/2006/relationships/hyperlink" Target="https://www.lcsc.com/product-detail/Chip-Resistor-Surface-Mount_YAGEO-RC0603JR-07330RL_C105879.html" TargetMode="External"/><Relationship Id="rId32" Type="http://schemas.openxmlformats.org/officeDocument/2006/relationships/hyperlink" Target="https://www.lcsc.com/product-detail/Network-cables_DEALON-LDS200-100726-200-4P_C2999019.html" TargetMode="External"/><Relationship Id="rId37" Type="http://schemas.openxmlformats.org/officeDocument/2006/relationships/drawing" Target="../drawings/drawing2.xml"/><Relationship Id="rId5" Type="http://schemas.openxmlformats.org/officeDocument/2006/relationships/hyperlink" Target="https://www.lcsc.com/product-detail/Multilayer-Ceramic-Capacitors-MLCC-SMD-SMT_YAGEO-CS0603KRX7R8BB104_C577419.html" TargetMode="External"/><Relationship Id="rId15" Type="http://schemas.openxmlformats.org/officeDocument/2006/relationships/hyperlink" Target="https://www.lcsc.com/product-detail/Battery-Connectors_Q-J-CR2032-BS-6-1_C70377.html" TargetMode="External"/><Relationship Id="rId23" Type="http://schemas.openxmlformats.org/officeDocument/2006/relationships/hyperlink" Target="https://www.lcsc.com/product-detail/Chip-Resistor-Surface-Mount_UNI-ROYAL-Uniroyal-Elec-0603WAF1004T5E_C22935.html" TargetMode="External"/><Relationship Id="rId28" Type="http://schemas.openxmlformats.org/officeDocument/2006/relationships/hyperlink" Target="https://www.lcsc.com/product-detail/Microcontroller-Units-MCUs-MPUs-SOCs_STMicroelectronics-STM32F103C8T6_C8734.html" TargetMode="External"/><Relationship Id="rId36" Type="http://schemas.openxmlformats.org/officeDocument/2006/relationships/hyperlink" Target="https://vi.aliexpress.com/item/32899654309.html?gatewayAdapt=glo2vnm" TargetMode="External"/><Relationship Id="rId10" Type="http://schemas.openxmlformats.org/officeDocument/2006/relationships/hyperlink" Target="https://www.lcsc.com/product-detail/ESD-Protection-Devices_Nexperia-PESD5V0H1BSF_C477989.html" TargetMode="External"/><Relationship Id="rId19" Type="http://schemas.openxmlformats.org/officeDocument/2006/relationships/hyperlink" Target="https://www.lcsc.com/product-detail/Chip-Resistor-Surface-Mount_UNI-ROYAL-Uniroyal-Elec-0603WAF1501T5E_C22843.html" TargetMode="External"/><Relationship Id="rId31" Type="http://schemas.openxmlformats.org/officeDocument/2006/relationships/hyperlink" Target="https://www.aliexpress.us/item/1005004421431950.html?gatewayAdapt=4itemAdapt" TargetMode="External"/><Relationship Id="rId4" Type="http://schemas.openxmlformats.org/officeDocument/2006/relationships/hyperlink" Target="https://www.lcsc.com/product-detail/USB-Connectors_XKB-Connectivity-U254-051T-4BH83-F1S_C397452.html" TargetMode="External"/><Relationship Id="rId9" Type="http://schemas.openxmlformats.org/officeDocument/2006/relationships/hyperlink" Target="https://www.lcsc.com/product-detail/Multilayer-Ceramic-Capacitors-MLCC-SMD-SMT_CCTC-TCC0603X5R105M250CT_C6266891.html" TargetMode="External"/><Relationship Id="rId14" Type="http://schemas.openxmlformats.org/officeDocument/2006/relationships/hyperlink" Target="https://www.lcsc.com/product-detail/Wire-To-Board-Wire-To-Wire-Connector_XUNPU-WAFER-PH2-0-4PWB_C3029442.html" TargetMode="External"/><Relationship Id="rId22" Type="http://schemas.openxmlformats.org/officeDocument/2006/relationships/hyperlink" Target="https://www.lcsc.com/product-detail/Chip-Resistor-Surface-Mount_YAGEO-RC0603FR-0710KL_C98220.html" TargetMode="External"/><Relationship Id="rId27" Type="http://schemas.openxmlformats.org/officeDocument/2006/relationships/hyperlink" Target="https://www.lcsc.com/product-detail/Darlington-Transistor-Arrays_LANKE-LK1802_C2984831.html" TargetMode="External"/><Relationship Id="rId30" Type="http://schemas.openxmlformats.org/officeDocument/2006/relationships/hyperlink" Target="https://www.lcsc.com/product-detail/Crystals_Seiko-Epson-MC-306-32-7680K-A0-ROHS_C2650464.html" TargetMode="External"/><Relationship Id="rId35" Type="http://schemas.openxmlformats.org/officeDocument/2006/relationships/hyperlink" Target="https://vi.aliexpress.com/item/32899654309.html?gatewayAdapt=glo2vnm" TargetMode="External"/><Relationship Id="rId8" Type="http://schemas.openxmlformats.org/officeDocument/2006/relationships/hyperlink" Target="https://www.lcsc.com/product-detail/Multilayer-Ceramic-Capacitors-MLCC-SMD-SMT_YAGEO-CC0603JRNPO9BN150_C107037.html" TargetMode="External"/><Relationship Id="rId3" Type="http://schemas.openxmlformats.org/officeDocument/2006/relationships/hyperlink" Target="https://www.lcsc.com/product-detail/Barrier-Terminal-Blocks_MAX-MX7620-7-62-02P-GN01-Cu-S-A_C518849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49"/>
  <sheetViews>
    <sheetView tabSelected="1" topLeftCell="A31" workbookViewId="0">
      <selection activeCell="E45" sqref="E45"/>
    </sheetView>
  </sheetViews>
  <sheetFormatPr defaultRowHeight="1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8.425781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10.28515625" bestFit="1" customWidth="1"/>
    <col min="16" max="16" width="18.7109375" bestFit="1" customWidth="1"/>
    <col min="17" max="17" width="19.28515625" bestFit="1" customWidth="1"/>
    <col min="18" max="18" width="8.5703125" bestFit="1" customWidth="1"/>
    <col min="19" max="19" width="26.85546875" bestFit="1" customWidth="1"/>
  </cols>
  <sheetData>
    <row r="1" spans="1:19" ht="15.75" thickBot="1">
      <c r="A1" s="1"/>
      <c r="B1" s="20"/>
      <c r="C1" s="20"/>
      <c r="D1" s="2"/>
      <c r="E1" s="2"/>
      <c r="F1" s="2"/>
      <c r="G1" s="2"/>
      <c r="H1" s="2"/>
      <c r="I1" s="2"/>
      <c r="J1" s="2"/>
      <c r="K1" s="59"/>
      <c r="L1" s="59"/>
      <c r="M1" s="59"/>
      <c r="N1" s="59"/>
      <c r="O1" s="59"/>
      <c r="P1" s="59"/>
      <c r="Q1" s="59"/>
      <c r="R1" s="59"/>
      <c r="S1" s="60"/>
    </row>
    <row r="2" spans="1:19" ht="32.25" thickBot="1">
      <c r="A2" s="1"/>
      <c r="B2" s="21"/>
      <c r="C2" s="31"/>
      <c r="D2" s="11" t="s">
        <v>0</v>
      </c>
      <c r="E2" s="11"/>
      <c r="F2" s="55" t="s">
        <v>172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>
      <c r="A3" s="1"/>
      <c r="B3" s="22"/>
      <c r="C3" s="32"/>
      <c r="D3" s="13" t="s">
        <v>1</v>
      </c>
      <c r="E3" s="13"/>
      <c r="F3" s="56" t="s">
        <v>173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61"/>
    </row>
    <row r="4" spans="1:19">
      <c r="A4" s="1"/>
      <c r="B4" s="22"/>
      <c r="C4" s="32"/>
      <c r="D4" s="13" t="s">
        <v>2</v>
      </c>
      <c r="E4" s="13"/>
      <c r="F4" s="56" t="s">
        <v>173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62"/>
    </row>
    <row r="5" spans="1:19">
      <c r="A5" s="1"/>
      <c r="B5" s="22"/>
      <c r="C5" s="32"/>
      <c r="D5" s="13" t="s">
        <v>3</v>
      </c>
      <c r="E5" s="13"/>
      <c r="F5" s="57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62"/>
    </row>
    <row r="6" spans="1:19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62"/>
    </row>
    <row r="7" spans="1:19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62"/>
    </row>
    <row r="8" spans="1:19" ht="15.75" thickBot="1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62"/>
    </row>
    <row r="9" spans="1:19" ht="15.75" thickBot="1">
      <c r="A9" s="1"/>
      <c r="B9" s="30" t="s">
        <v>4</v>
      </c>
      <c r="C9" s="30" t="s">
        <v>8</v>
      </c>
      <c r="D9" s="30" t="s">
        <v>25</v>
      </c>
      <c r="E9" s="30" t="s">
        <v>58</v>
      </c>
      <c r="F9" s="30" t="s">
        <v>87</v>
      </c>
      <c r="G9" s="30" t="s">
        <v>109</v>
      </c>
      <c r="H9" s="30" t="s">
        <v>123</v>
      </c>
      <c r="I9" s="30" t="s">
        <v>174</v>
      </c>
      <c r="J9" s="30" t="s">
        <v>141</v>
      </c>
      <c r="K9" s="30" t="s">
        <v>175</v>
      </c>
      <c r="L9" s="30" t="s">
        <v>171</v>
      </c>
      <c r="M9" s="30" t="s">
        <v>176</v>
      </c>
      <c r="N9" s="30" t="s">
        <v>177</v>
      </c>
      <c r="O9" s="30" t="s">
        <v>178</v>
      </c>
      <c r="P9" s="30" t="s">
        <v>179</v>
      </c>
      <c r="Q9" s="30" t="s">
        <v>180</v>
      </c>
      <c r="R9" s="30" t="s">
        <v>181</v>
      </c>
      <c r="S9" s="30" t="s">
        <v>182</v>
      </c>
    </row>
    <row r="10" spans="1:19">
      <c r="A10" s="1"/>
      <c r="B10" s="46">
        <f>ROW(B10) - ROW($B$9)</f>
        <v>1</v>
      </c>
      <c r="C10" s="53" t="s">
        <v>9</v>
      </c>
      <c r="D10" s="37" t="s">
        <v>26</v>
      </c>
      <c r="E10" s="37" t="s">
        <v>199</v>
      </c>
      <c r="F10" s="69" t="s">
        <v>88</v>
      </c>
      <c r="G10" s="70" t="s">
        <v>110</v>
      </c>
      <c r="H10" s="69" t="s">
        <v>124</v>
      </c>
      <c r="I10" s="37" t="s">
        <v>189</v>
      </c>
      <c r="J10" s="37" t="s">
        <v>198</v>
      </c>
      <c r="K10" s="37" t="s">
        <v>154</v>
      </c>
      <c r="L10" s="37">
        <v>8</v>
      </c>
      <c r="M10" s="37">
        <f>L10*5</f>
        <v>40</v>
      </c>
      <c r="N10" s="37">
        <v>50</v>
      </c>
      <c r="O10" s="73" t="s">
        <v>201</v>
      </c>
      <c r="P10" s="38">
        <v>1.17E-2</v>
      </c>
      <c r="Q10" s="38">
        <f>P10*N10</f>
        <v>0.58499999999999996</v>
      </c>
      <c r="R10" s="37"/>
      <c r="S10" s="50"/>
    </row>
    <row r="11" spans="1:19">
      <c r="A11" s="1"/>
      <c r="B11" s="47">
        <f t="shared" ref="B11:B47" si="0">ROW(B11) - ROW($B$9)</f>
        <v>2</v>
      </c>
      <c r="C11" s="53" t="s">
        <v>9</v>
      </c>
      <c r="D11" s="51" t="s">
        <v>27</v>
      </c>
      <c r="E11" s="51" t="s">
        <v>59</v>
      </c>
      <c r="F11" s="71" t="s">
        <v>88</v>
      </c>
      <c r="G11" s="72" t="s">
        <v>111</v>
      </c>
      <c r="H11" s="71" t="s">
        <v>125</v>
      </c>
      <c r="I11" s="51" t="s">
        <v>189</v>
      </c>
      <c r="J11" s="51" t="s">
        <v>142</v>
      </c>
      <c r="K11" s="51" t="s">
        <v>155</v>
      </c>
      <c r="L11" s="51">
        <v>2</v>
      </c>
      <c r="M11" s="51">
        <f t="shared" ref="M11" si="1">L11*5</f>
        <v>10</v>
      </c>
      <c r="N11" s="51">
        <v>20</v>
      </c>
      <c r="O11" s="74" t="s">
        <v>201</v>
      </c>
      <c r="P11" s="52">
        <v>1.9300000000000001E-2</v>
      </c>
      <c r="Q11" s="52">
        <f t="shared" ref="Q11" si="2">P11*N11</f>
        <v>0.38600000000000001</v>
      </c>
      <c r="R11" s="51"/>
      <c r="S11" s="51"/>
    </row>
    <row r="12" spans="1:19" ht="24">
      <c r="A12" s="1"/>
      <c r="B12" s="46">
        <f>ROW(B12) - ROW($B$9)</f>
        <v>3</v>
      </c>
      <c r="C12" s="53" t="s">
        <v>9</v>
      </c>
      <c r="D12" s="37" t="s">
        <v>28</v>
      </c>
      <c r="E12" s="37" t="s">
        <v>60</v>
      </c>
      <c r="F12" s="69" t="s">
        <v>88</v>
      </c>
      <c r="G12" s="70" t="s">
        <v>183</v>
      </c>
      <c r="H12" s="69" t="s">
        <v>184</v>
      </c>
      <c r="I12" s="37" t="s">
        <v>189</v>
      </c>
      <c r="J12" s="37" t="s">
        <v>200</v>
      </c>
      <c r="K12" s="37" t="s">
        <v>156</v>
      </c>
      <c r="L12" s="37">
        <v>1</v>
      </c>
      <c r="M12" s="37">
        <f>L12*5</f>
        <v>5</v>
      </c>
      <c r="N12" s="37">
        <v>100</v>
      </c>
      <c r="O12" s="73" t="s">
        <v>201</v>
      </c>
      <c r="P12" s="38">
        <v>3.8999999999999998E-3</v>
      </c>
      <c r="Q12" s="38">
        <f>P12*N12</f>
        <v>0.38999999999999996</v>
      </c>
      <c r="R12" s="37"/>
      <c r="S12" s="58"/>
    </row>
    <row r="13" spans="1:19">
      <c r="A13" s="1"/>
      <c r="B13" s="47">
        <f t="shared" si="0"/>
        <v>4</v>
      </c>
      <c r="C13" s="53" t="s">
        <v>9</v>
      </c>
      <c r="D13" s="51" t="s">
        <v>29</v>
      </c>
      <c r="E13" s="51" t="s">
        <v>61</v>
      </c>
      <c r="F13" s="71" t="s">
        <v>88</v>
      </c>
      <c r="G13" s="72" t="s">
        <v>112</v>
      </c>
      <c r="H13" s="71" t="s">
        <v>124</v>
      </c>
      <c r="I13" s="51" t="s">
        <v>189</v>
      </c>
      <c r="J13" s="51" t="s">
        <v>143</v>
      </c>
      <c r="K13" s="51" t="s">
        <v>157</v>
      </c>
      <c r="L13" s="51">
        <v>2</v>
      </c>
      <c r="M13" s="51">
        <f t="shared" ref="M13" si="3">L13*5</f>
        <v>10</v>
      </c>
      <c r="N13" s="51">
        <v>100</v>
      </c>
      <c r="O13" s="74" t="s">
        <v>201</v>
      </c>
      <c r="P13" s="52">
        <v>2.8999999999999998E-3</v>
      </c>
      <c r="Q13" s="52">
        <f t="shared" ref="Q13" si="4">P13*N13</f>
        <v>0.28999999999999998</v>
      </c>
      <c r="R13" s="51"/>
      <c r="S13" s="58"/>
    </row>
    <row r="14" spans="1:19">
      <c r="A14" s="1"/>
      <c r="B14" s="46">
        <f>ROW(B14) - ROW($B$9)</f>
        <v>5</v>
      </c>
      <c r="C14" s="53" t="s">
        <v>9</v>
      </c>
      <c r="D14" s="37" t="s">
        <v>30</v>
      </c>
      <c r="E14" s="37" t="s">
        <v>62</v>
      </c>
      <c r="F14" s="69" t="s">
        <v>88</v>
      </c>
      <c r="G14" s="70" t="s">
        <v>113</v>
      </c>
      <c r="H14" s="69" t="s">
        <v>124</v>
      </c>
      <c r="I14" s="37" t="s">
        <v>189</v>
      </c>
      <c r="J14" s="37" t="s">
        <v>144</v>
      </c>
      <c r="K14" s="37" t="s">
        <v>158</v>
      </c>
      <c r="L14" s="37">
        <v>2</v>
      </c>
      <c r="M14" s="37">
        <f>L14*5</f>
        <v>10</v>
      </c>
      <c r="N14" s="37">
        <v>100</v>
      </c>
      <c r="O14" s="73" t="s">
        <v>201</v>
      </c>
      <c r="P14" s="38">
        <v>3.0000000000000001E-3</v>
      </c>
      <c r="Q14" s="38">
        <f>P14*N14</f>
        <v>0.3</v>
      </c>
      <c r="R14" s="37"/>
      <c r="S14" s="58"/>
    </row>
    <row r="15" spans="1:19" ht="36">
      <c r="A15" s="1"/>
      <c r="B15" s="47">
        <f t="shared" si="0"/>
        <v>6</v>
      </c>
      <c r="C15" s="54" t="s">
        <v>9</v>
      </c>
      <c r="D15" s="51" t="s">
        <v>31</v>
      </c>
      <c r="E15" s="51" t="s">
        <v>63</v>
      </c>
      <c r="F15" s="71" t="s">
        <v>88</v>
      </c>
      <c r="G15" s="72" t="s">
        <v>185</v>
      </c>
      <c r="H15" s="71" t="s">
        <v>126</v>
      </c>
      <c r="I15" s="51" t="s">
        <v>189</v>
      </c>
      <c r="J15" s="51" t="s">
        <v>202</v>
      </c>
      <c r="K15" s="51" t="s">
        <v>159</v>
      </c>
      <c r="L15" s="51">
        <v>1</v>
      </c>
      <c r="M15" s="51">
        <f t="shared" ref="M15" si="5">L15*5</f>
        <v>5</v>
      </c>
      <c r="N15" s="51">
        <v>100</v>
      </c>
      <c r="O15" s="74" t="s">
        <v>201</v>
      </c>
      <c r="P15" s="52">
        <v>4.1999999999999997E-3</v>
      </c>
      <c r="Q15" s="52">
        <f t="shared" ref="Q15" si="6">P15*N15</f>
        <v>0.42</v>
      </c>
      <c r="R15" s="51"/>
      <c r="S15" s="58"/>
    </row>
    <row r="16" spans="1:19">
      <c r="A16" s="1"/>
      <c r="B16" s="46">
        <f>ROW(B16) - ROW($B$9)</f>
        <v>7</v>
      </c>
      <c r="C16" s="53" t="s">
        <v>10</v>
      </c>
      <c r="D16" s="37" t="s">
        <v>32</v>
      </c>
      <c r="E16" s="37" t="s">
        <v>64</v>
      </c>
      <c r="F16" s="69" t="s">
        <v>89</v>
      </c>
      <c r="G16" s="70" t="s">
        <v>114</v>
      </c>
      <c r="H16" s="69" t="s">
        <v>127</v>
      </c>
      <c r="I16" s="37" t="s">
        <v>189</v>
      </c>
      <c r="J16" s="37" t="s">
        <v>145</v>
      </c>
      <c r="K16" s="37" t="s">
        <v>189</v>
      </c>
      <c r="L16" s="37">
        <v>1</v>
      </c>
      <c r="M16" s="37">
        <f>L16*5</f>
        <v>5</v>
      </c>
      <c r="N16" s="37">
        <v>10</v>
      </c>
      <c r="O16" s="73" t="s">
        <v>201</v>
      </c>
      <c r="P16" s="38">
        <v>3.39E-2</v>
      </c>
      <c r="Q16" s="38">
        <f>P16*N16</f>
        <v>0.33899999999999997</v>
      </c>
      <c r="R16" s="37"/>
      <c r="S16" s="58"/>
    </row>
    <row r="17" spans="1:19" ht="36">
      <c r="A17" s="1"/>
      <c r="B17" s="47">
        <f t="shared" si="0"/>
        <v>8</v>
      </c>
      <c r="C17" s="54" t="s">
        <v>10</v>
      </c>
      <c r="D17" s="51" t="s">
        <v>33</v>
      </c>
      <c r="E17" s="51" t="s">
        <v>204</v>
      </c>
      <c r="F17" s="71" t="s">
        <v>90</v>
      </c>
      <c r="G17" s="72" t="s">
        <v>160</v>
      </c>
      <c r="H17" s="71" t="s">
        <v>128</v>
      </c>
      <c r="I17" s="51" t="s">
        <v>189</v>
      </c>
      <c r="J17" s="51" t="s">
        <v>203</v>
      </c>
      <c r="K17" s="51" t="s">
        <v>189</v>
      </c>
      <c r="L17" s="51">
        <v>1</v>
      </c>
      <c r="M17" s="51">
        <f t="shared" ref="M17" si="7">L17*5</f>
        <v>5</v>
      </c>
      <c r="N17" s="51">
        <v>50</v>
      </c>
      <c r="O17" s="74" t="s">
        <v>201</v>
      </c>
      <c r="P17" s="52">
        <v>1.03E-2</v>
      </c>
      <c r="Q17" s="52">
        <f t="shared" ref="Q17" si="8">P17*N17</f>
        <v>0.51500000000000001</v>
      </c>
      <c r="R17" s="51"/>
      <c r="S17" s="58"/>
    </row>
    <row r="18" spans="1:19">
      <c r="A18" s="1"/>
      <c r="B18" s="46">
        <f>ROW(B18) - ROW($B$9)</f>
        <v>9</v>
      </c>
      <c r="C18" s="53" t="s">
        <v>11</v>
      </c>
      <c r="D18" s="37" t="s">
        <v>34</v>
      </c>
      <c r="E18" s="37" t="s">
        <v>65</v>
      </c>
      <c r="F18" s="69" t="s">
        <v>91</v>
      </c>
      <c r="G18" s="70" t="s">
        <v>115</v>
      </c>
      <c r="H18" s="69" t="s">
        <v>129</v>
      </c>
      <c r="I18" s="37" t="s">
        <v>189</v>
      </c>
      <c r="J18" s="37" t="s">
        <v>146</v>
      </c>
      <c r="K18" s="37" t="s">
        <v>189</v>
      </c>
      <c r="L18" s="37">
        <v>1</v>
      </c>
      <c r="M18" s="37">
        <f>L18*5</f>
        <v>5</v>
      </c>
      <c r="N18" s="37">
        <v>10</v>
      </c>
      <c r="O18" s="73" t="s">
        <v>201</v>
      </c>
      <c r="P18" s="38">
        <v>0.22370000000000001</v>
      </c>
      <c r="Q18" s="38">
        <f>P18*N18</f>
        <v>2.2370000000000001</v>
      </c>
      <c r="R18" s="37"/>
      <c r="S18" s="58"/>
    </row>
    <row r="19" spans="1:19">
      <c r="A19" s="1"/>
      <c r="B19" s="47">
        <f t="shared" si="0"/>
        <v>10</v>
      </c>
      <c r="C19" s="54" t="s">
        <v>12</v>
      </c>
      <c r="D19" s="51" t="s">
        <v>35</v>
      </c>
      <c r="E19" s="51" t="s">
        <v>66</v>
      </c>
      <c r="F19" s="71" t="s">
        <v>92</v>
      </c>
      <c r="G19" s="72" t="s">
        <v>116</v>
      </c>
      <c r="H19" s="71" t="s">
        <v>130</v>
      </c>
      <c r="I19" s="51" t="s">
        <v>189</v>
      </c>
      <c r="J19" s="51" t="s">
        <v>147</v>
      </c>
      <c r="K19" s="51" t="s">
        <v>189</v>
      </c>
      <c r="L19" s="51">
        <v>1</v>
      </c>
      <c r="M19" s="51">
        <f t="shared" ref="M19" si="9">L19*5</f>
        <v>5</v>
      </c>
      <c r="N19" s="51">
        <v>10</v>
      </c>
      <c r="O19" s="74" t="s">
        <v>201</v>
      </c>
      <c r="P19" s="52">
        <v>8.0299999999999996E-2</v>
      </c>
      <c r="Q19" s="52">
        <f t="shared" ref="Q19" si="10">P19*N19</f>
        <v>0.80299999999999994</v>
      </c>
      <c r="R19" s="51"/>
      <c r="S19" s="58"/>
    </row>
    <row r="20" spans="1:19" ht="48">
      <c r="A20" s="1"/>
      <c r="B20" s="46">
        <f>ROW(B20) - ROW($B$9)</f>
        <v>11</v>
      </c>
      <c r="C20" s="53" t="s">
        <v>13</v>
      </c>
      <c r="D20" s="37" t="s">
        <v>36</v>
      </c>
      <c r="E20" s="37" t="s">
        <v>67</v>
      </c>
      <c r="F20" s="69" t="s">
        <v>186</v>
      </c>
      <c r="G20" s="69" t="s">
        <v>93</v>
      </c>
      <c r="H20" s="69" t="s">
        <v>187</v>
      </c>
      <c r="I20" s="37" t="s">
        <v>189</v>
      </c>
      <c r="J20" s="37" t="s">
        <v>205</v>
      </c>
      <c r="K20" s="37" t="s">
        <v>189</v>
      </c>
      <c r="L20" s="37">
        <v>3</v>
      </c>
      <c r="M20" s="37">
        <f>L20*5</f>
        <v>15</v>
      </c>
      <c r="N20" s="37">
        <v>20</v>
      </c>
      <c r="O20" s="73" t="s">
        <v>201</v>
      </c>
      <c r="P20" s="38">
        <v>7.5800000000000006E-2</v>
      </c>
      <c r="Q20" s="38">
        <f>P20*N20</f>
        <v>1.516</v>
      </c>
      <c r="R20" s="37"/>
      <c r="S20" s="58"/>
    </row>
    <row r="21" spans="1:19" ht="36">
      <c r="A21" s="1"/>
      <c r="B21" s="47">
        <f t="shared" si="0"/>
        <v>12</v>
      </c>
      <c r="C21" s="54" t="s">
        <v>14</v>
      </c>
      <c r="D21" s="51" t="s">
        <v>37</v>
      </c>
      <c r="E21" s="51" t="s">
        <v>68</v>
      </c>
      <c r="F21" s="69" t="s">
        <v>186</v>
      </c>
      <c r="G21" s="71" t="s">
        <v>94</v>
      </c>
      <c r="H21" s="71" t="s">
        <v>188</v>
      </c>
      <c r="I21" s="51" t="s">
        <v>189</v>
      </c>
      <c r="J21" s="51" t="s">
        <v>206</v>
      </c>
      <c r="K21" s="51" t="s">
        <v>189</v>
      </c>
      <c r="L21" s="51">
        <v>1</v>
      </c>
      <c r="M21" s="51">
        <f t="shared" ref="M21" si="11">L21*5</f>
        <v>5</v>
      </c>
      <c r="N21" s="51">
        <v>10</v>
      </c>
      <c r="O21" s="74" t="s">
        <v>201</v>
      </c>
      <c r="P21" s="52">
        <v>4.0399999999999998E-2</v>
      </c>
      <c r="Q21" s="52">
        <f t="shared" ref="Q21" si="12">P21*N21</f>
        <v>0.40399999999999997</v>
      </c>
      <c r="R21" s="51"/>
      <c r="S21" s="58"/>
    </row>
    <row r="22" spans="1:19" ht="24">
      <c r="A22" s="1"/>
      <c r="B22" s="46">
        <f>ROW(B22) - ROW($B$9)</f>
        <v>13</v>
      </c>
      <c r="C22" s="53" t="s">
        <v>15</v>
      </c>
      <c r="D22" s="37" t="s">
        <v>38</v>
      </c>
      <c r="E22" s="37" t="s">
        <v>69</v>
      </c>
      <c r="F22" s="69" t="s">
        <v>95</v>
      </c>
      <c r="G22" s="70" t="s">
        <v>117</v>
      </c>
      <c r="H22" s="69" t="s">
        <v>131</v>
      </c>
      <c r="I22" s="37" t="s">
        <v>189</v>
      </c>
      <c r="J22" s="37" t="s">
        <v>148</v>
      </c>
      <c r="K22" s="37"/>
      <c r="L22" s="37">
        <v>2</v>
      </c>
      <c r="M22" s="37">
        <f>L22*5</f>
        <v>10</v>
      </c>
      <c r="N22" s="37">
        <v>20</v>
      </c>
      <c r="O22" s="73" t="s">
        <v>201</v>
      </c>
      <c r="P22" s="38">
        <v>4.02E-2</v>
      </c>
      <c r="Q22" s="38">
        <f>P22*N22</f>
        <v>0.80400000000000005</v>
      </c>
      <c r="R22" s="37"/>
      <c r="S22" s="58"/>
    </row>
    <row r="23" spans="1:19">
      <c r="A23" s="1"/>
      <c r="B23" s="47">
        <f t="shared" si="0"/>
        <v>14</v>
      </c>
      <c r="C23" s="54" t="s">
        <v>16</v>
      </c>
      <c r="D23" s="75" t="s">
        <v>39</v>
      </c>
      <c r="E23" s="75" t="s">
        <v>70</v>
      </c>
      <c r="F23" s="75" t="s">
        <v>186</v>
      </c>
      <c r="G23" s="76" t="s">
        <v>96</v>
      </c>
      <c r="H23" s="75" t="s">
        <v>189</v>
      </c>
      <c r="I23" s="75" t="s">
        <v>189</v>
      </c>
      <c r="J23" s="75" t="s">
        <v>189</v>
      </c>
      <c r="K23" s="75" t="s">
        <v>161</v>
      </c>
      <c r="L23" s="75">
        <v>5</v>
      </c>
      <c r="M23" s="75">
        <f t="shared" ref="M23" si="13">L23*5</f>
        <v>25</v>
      </c>
      <c r="N23" s="75" t="s">
        <v>189</v>
      </c>
      <c r="O23" s="75" t="s">
        <v>189</v>
      </c>
      <c r="P23" s="77" t="s">
        <v>189</v>
      </c>
      <c r="Q23" s="77" t="s">
        <v>189</v>
      </c>
      <c r="R23" s="75"/>
      <c r="S23" s="78"/>
    </row>
    <row r="24" spans="1:19" ht="48">
      <c r="A24" s="1"/>
      <c r="B24" s="46">
        <f>ROW(B24) - ROW($B$9)</f>
        <v>15</v>
      </c>
      <c r="C24" s="53" t="s">
        <v>17</v>
      </c>
      <c r="D24" s="37" t="s">
        <v>40</v>
      </c>
      <c r="E24" s="37" t="s">
        <v>71</v>
      </c>
      <c r="F24" s="69" t="s">
        <v>186</v>
      </c>
      <c r="G24" s="69" t="s">
        <v>97</v>
      </c>
      <c r="H24" s="69" t="s">
        <v>190</v>
      </c>
      <c r="I24" s="37" t="s">
        <v>189</v>
      </c>
      <c r="J24" s="37" t="s">
        <v>207</v>
      </c>
      <c r="K24" s="37" t="s">
        <v>189</v>
      </c>
      <c r="L24" s="37">
        <v>1</v>
      </c>
      <c r="M24" s="37">
        <f>L24*5</f>
        <v>5</v>
      </c>
      <c r="N24" s="37">
        <v>10</v>
      </c>
      <c r="O24" s="73" t="s">
        <v>201</v>
      </c>
      <c r="P24" s="38">
        <v>6.2399999999999997E-2</v>
      </c>
      <c r="Q24" s="38">
        <f>P24*N24</f>
        <v>0.624</v>
      </c>
      <c r="R24" s="37"/>
      <c r="S24" s="58"/>
    </row>
    <row r="25" spans="1:19" ht="24">
      <c r="A25" s="1"/>
      <c r="B25" s="47">
        <f t="shared" si="0"/>
        <v>16</v>
      </c>
      <c r="C25" s="54" t="s">
        <v>17</v>
      </c>
      <c r="D25" s="51" t="s">
        <v>41</v>
      </c>
      <c r="E25" s="51" t="s">
        <v>72</v>
      </c>
      <c r="F25" s="69" t="s">
        <v>186</v>
      </c>
      <c r="G25" s="71" t="s">
        <v>98</v>
      </c>
      <c r="H25" s="71" t="s">
        <v>132</v>
      </c>
      <c r="I25" s="51" t="s">
        <v>189</v>
      </c>
      <c r="J25" s="51" t="s">
        <v>208</v>
      </c>
      <c r="K25" s="51"/>
      <c r="L25" s="51">
        <v>1</v>
      </c>
      <c r="M25" s="51">
        <f t="shared" ref="M25" si="14">L25*5</f>
        <v>5</v>
      </c>
      <c r="N25" s="51">
        <v>10</v>
      </c>
      <c r="O25" s="74" t="s">
        <v>201</v>
      </c>
      <c r="P25" s="52">
        <v>0.15590000000000001</v>
      </c>
      <c r="Q25" s="52">
        <f t="shared" ref="Q25" si="15">P25*N25</f>
        <v>1.5590000000000002</v>
      </c>
      <c r="R25" s="51"/>
      <c r="S25" s="58"/>
    </row>
    <row r="26" spans="1:19" ht="24">
      <c r="A26" s="1"/>
      <c r="B26" s="46">
        <f>ROW(B26) - ROW($B$9)</f>
        <v>17</v>
      </c>
      <c r="C26" s="53" t="s">
        <v>18</v>
      </c>
      <c r="D26" s="37" t="s">
        <v>42</v>
      </c>
      <c r="E26" s="37" t="s">
        <v>73</v>
      </c>
      <c r="F26" s="69" t="s">
        <v>186</v>
      </c>
      <c r="G26" s="70" t="s">
        <v>99</v>
      </c>
      <c r="H26" s="69" t="s">
        <v>133</v>
      </c>
      <c r="I26" s="37" t="s">
        <v>189</v>
      </c>
      <c r="J26" s="37" t="s">
        <v>149</v>
      </c>
      <c r="K26" s="37"/>
      <c r="L26" s="37">
        <v>2</v>
      </c>
      <c r="M26" s="37">
        <f>L26*5</f>
        <v>10</v>
      </c>
      <c r="N26" s="37">
        <v>15</v>
      </c>
      <c r="O26" s="73" t="s">
        <v>201</v>
      </c>
      <c r="P26" s="38">
        <v>0.34439999999999998</v>
      </c>
      <c r="Q26" s="38">
        <f>P26*N26</f>
        <v>5.1659999999999995</v>
      </c>
      <c r="R26" s="37"/>
      <c r="S26" s="58"/>
    </row>
    <row r="27" spans="1:19" ht="48">
      <c r="A27" s="1"/>
      <c r="B27" s="47">
        <f t="shared" si="0"/>
        <v>18</v>
      </c>
      <c r="C27" s="54" t="s">
        <v>19</v>
      </c>
      <c r="D27" s="51" t="s">
        <v>43</v>
      </c>
      <c r="E27" s="51" t="s">
        <v>74</v>
      </c>
      <c r="F27" s="71" t="s">
        <v>100</v>
      </c>
      <c r="G27" s="72" t="s">
        <v>191</v>
      </c>
      <c r="H27" s="71" t="s">
        <v>134</v>
      </c>
      <c r="I27" s="51" t="s">
        <v>189</v>
      </c>
      <c r="J27" s="51" t="s">
        <v>209</v>
      </c>
      <c r="K27" s="51"/>
      <c r="L27" s="51">
        <v>1</v>
      </c>
      <c r="M27" s="51">
        <f t="shared" ref="M27" si="16">L27*5</f>
        <v>5</v>
      </c>
      <c r="N27" s="51">
        <v>100</v>
      </c>
      <c r="O27" s="74" t="s">
        <v>201</v>
      </c>
      <c r="P27" s="52">
        <v>2.5999999999999999E-3</v>
      </c>
      <c r="Q27" s="52">
        <f t="shared" ref="Q27" si="17">P27*N27</f>
        <v>0.26</v>
      </c>
      <c r="R27" s="51"/>
      <c r="S27" s="58"/>
    </row>
    <row r="28" spans="1:19">
      <c r="A28" s="1"/>
      <c r="B28" s="46">
        <f>ROW(B28) - ROW($B$9)</f>
        <v>19</v>
      </c>
      <c r="C28" s="53" t="s">
        <v>20</v>
      </c>
      <c r="D28" s="75" t="s">
        <v>44</v>
      </c>
      <c r="E28" s="75" t="s">
        <v>75</v>
      </c>
      <c r="F28" s="75" t="s">
        <v>186</v>
      </c>
      <c r="G28" s="76" t="s">
        <v>101</v>
      </c>
      <c r="H28" s="75" t="s">
        <v>189</v>
      </c>
      <c r="I28" s="75" t="s">
        <v>189</v>
      </c>
      <c r="J28" s="75" t="s">
        <v>189</v>
      </c>
      <c r="K28" s="75"/>
      <c r="L28" s="75">
        <v>3</v>
      </c>
      <c r="M28" s="75">
        <f>L28*5</f>
        <v>15</v>
      </c>
      <c r="N28" s="75" t="s">
        <v>189</v>
      </c>
      <c r="O28" s="75" t="s">
        <v>189</v>
      </c>
      <c r="P28" s="77" t="s">
        <v>189</v>
      </c>
      <c r="Q28" s="77" t="s">
        <v>189</v>
      </c>
      <c r="R28" s="75"/>
      <c r="S28" s="78"/>
    </row>
    <row r="29" spans="1:19" ht="36">
      <c r="A29" s="1"/>
      <c r="B29" s="47">
        <f t="shared" si="0"/>
        <v>20</v>
      </c>
      <c r="C29" s="54" t="s">
        <v>21</v>
      </c>
      <c r="D29" s="51" t="s">
        <v>45</v>
      </c>
      <c r="E29" s="51" t="s">
        <v>76</v>
      </c>
      <c r="F29" s="71" t="s">
        <v>102</v>
      </c>
      <c r="G29" s="72" t="s">
        <v>192</v>
      </c>
      <c r="H29" s="71" t="s">
        <v>135</v>
      </c>
      <c r="I29" s="51" t="s">
        <v>189</v>
      </c>
      <c r="J29" s="51" t="s">
        <v>210</v>
      </c>
      <c r="K29" s="51" t="s">
        <v>162</v>
      </c>
      <c r="L29" s="51">
        <v>2</v>
      </c>
      <c r="M29" s="51">
        <f t="shared" ref="M29" si="18">L29*5</f>
        <v>10</v>
      </c>
      <c r="N29" s="51">
        <v>100</v>
      </c>
      <c r="O29" s="74" t="s">
        <v>201</v>
      </c>
      <c r="P29" s="52">
        <v>1E-3</v>
      </c>
      <c r="Q29" s="52">
        <f t="shared" ref="Q29" si="19">P29*N29</f>
        <v>0.1</v>
      </c>
      <c r="R29" s="51"/>
      <c r="S29" s="58"/>
    </row>
    <row r="30" spans="1:19" ht="36">
      <c r="A30" s="1"/>
      <c r="B30" s="46">
        <f>ROW(B30) - ROW($B$9)</f>
        <v>21</v>
      </c>
      <c r="C30" s="53" t="s">
        <v>21</v>
      </c>
      <c r="D30" s="37" t="s">
        <v>46</v>
      </c>
      <c r="E30" s="37" t="s">
        <v>235</v>
      </c>
      <c r="F30" s="69" t="s">
        <v>102</v>
      </c>
      <c r="G30" s="70" t="s">
        <v>193</v>
      </c>
      <c r="H30" s="69" t="s">
        <v>135</v>
      </c>
      <c r="I30" s="37" t="s">
        <v>189</v>
      </c>
      <c r="J30" s="37" t="s">
        <v>211</v>
      </c>
      <c r="K30" s="37" t="s">
        <v>163</v>
      </c>
      <c r="L30" s="37">
        <v>1</v>
      </c>
      <c r="M30" s="37">
        <f>L30*5</f>
        <v>5</v>
      </c>
      <c r="N30" s="37">
        <v>100</v>
      </c>
      <c r="O30" s="73" t="s">
        <v>201</v>
      </c>
      <c r="P30" s="38">
        <v>1E-3</v>
      </c>
      <c r="Q30" s="38">
        <f>P30*N30</f>
        <v>0.1</v>
      </c>
      <c r="R30" s="37"/>
      <c r="S30" s="58"/>
    </row>
    <row r="31" spans="1:19">
      <c r="A31" s="1"/>
      <c r="B31" s="47">
        <f t="shared" si="0"/>
        <v>22</v>
      </c>
      <c r="C31" s="54" t="s">
        <v>21</v>
      </c>
      <c r="D31" s="51" t="s">
        <v>47</v>
      </c>
      <c r="E31" s="51" t="s">
        <v>77</v>
      </c>
      <c r="F31" s="71" t="s">
        <v>102</v>
      </c>
      <c r="G31" s="72" t="s">
        <v>118</v>
      </c>
      <c r="H31" s="71" t="s">
        <v>124</v>
      </c>
      <c r="I31" s="51" t="s">
        <v>189</v>
      </c>
      <c r="J31" s="51" t="s">
        <v>150</v>
      </c>
      <c r="K31" s="51" t="s">
        <v>164</v>
      </c>
      <c r="L31" s="51">
        <v>7</v>
      </c>
      <c r="M31" s="51">
        <f t="shared" ref="M31" si="20">L31*5</f>
        <v>35</v>
      </c>
      <c r="N31" s="51">
        <v>40</v>
      </c>
      <c r="O31" s="74" t="s">
        <v>201</v>
      </c>
      <c r="P31" s="52">
        <v>2.12E-2</v>
      </c>
      <c r="Q31" s="52">
        <f t="shared" ref="Q31" si="21">P31*N31</f>
        <v>0.84799999999999998</v>
      </c>
      <c r="R31" s="51"/>
      <c r="S31" s="58"/>
    </row>
    <row r="32" spans="1:19" ht="36">
      <c r="A32" s="1"/>
      <c r="B32" s="46">
        <f>ROW(B32) - ROW($B$9)</f>
        <v>23</v>
      </c>
      <c r="C32" s="54" t="s">
        <v>21</v>
      </c>
      <c r="D32" s="37" t="s">
        <v>48</v>
      </c>
      <c r="E32" s="37" t="s">
        <v>78</v>
      </c>
      <c r="F32" s="69" t="s">
        <v>102</v>
      </c>
      <c r="G32" s="70" t="s">
        <v>194</v>
      </c>
      <c r="H32" s="69" t="s">
        <v>195</v>
      </c>
      <c r="I32" s="51" t="s">
        <v>189</v>
      </c>
      <c r="J32" s="37" t="s">
        <v>212</v>
      </c>
      <c r="K32" s="37" t="s">
        <v>165</v>
      </c>
      <c r="L32" s="37">
        <v>1</v>
      </c>
      <c r="M32" s="37">
        <f>L32*5</f>
        <v>5</v>
      </c>
      <c r="N32" s="37">
        <v>100</v>
      </c>
      <c r="O32" s="73" t="s">
        <v>201</v>
      </c>
      <c r="P32" s="38">
        <v>1E-3</v>
      </c>
      <c r="Q32" s="38">
        <f>P32*N32</f>
        <v>0.1</v>
      </c>
      <c r="R32" s="37"/>
      <c r="S32" s="58"/>
    </row>
    <row r="33" spans="1:19">
      <c r="A33" s="1"/>
      <c r="B33" s="47">
        <f t="shared" si="0"/>
        <v>24</v>
      </c>
      <c r="C33" s="54" t="s">
        <v>21</v>
      </c>
      <c r="D33" s="51" t="s">
        <v>49</v>
      </c>
      <c r="E33" s="51" t="s">
        <v>79</v>
      </c>
      <c r="F33" s="71" t="s">
        <v>102</v>
      </c>
      <c r="G33" s="72" t="s">
        <v>119</v>
      </c>
      <c r="H33" s="71" t="s">
        <v>124</v>
      </c>
      <c r="I33" s="37" t="s">
        <v>189</v>
      </c>
      <c r="J33" s="51" t="s">
        <v>151</v>
      </c>
      <c r="K33" s="51" t="s">
        <v>164</v>
      </c>
      <c r="L33" s="51">
        <v>1</v>
      </c>
      <c r="M33" s="51">
        <f t="shared" ref="M33" si="22">L33*5</f>
        <v>5</v>
      </c>
      <c r="N33" s="51">
        <v>100</v>
      </c>
      <c r="O33" s="74" t="s">
        <v>201</v>
      </c>
      <c r="P33" s="52">
        <v>1E-3</v>
      </c>
      <c r="Q33" s="52">
        <f t="shared" ref="Q33" si="23">P33*N33</f>
        <v>0.1</v>
      </c>
      <c r="R33" s="51"/>
      <c r="S33" s="58"/>
    </row>
    <row r="34" spans="1:19" ht="36">
      <c r="A34" s="1"/>
      <c r="B34" s="46">
        <f>ROW(B34) - ROW($B$9)</f>
        <v>25</v>
      </c>
      <c r="C34" s="53" t="s">
        <v>21</v>
      </c>
      <c r="D34" s="37" t="s">
        <v>50</v>
      </c>
      <c r="E34" s="37" t="s">
        <v>80</v>
      </c>
      <c r="F34" s="69" t="s">
        <v>102</v>
      </c>
      <c r="G34" s="70" t="s">
        <v>196</v>
      </c>
      <c r="H34" s="69" t="s">
        <v>135</v>
      </c>
      <c r="I34" s="51" t="s">
        <v>189</v>
      </c>
      <c r="J34" s="37" t="s">
        <v>213</v>
      </c>
      <c r="K34" s="37" t="s">
        <v>166</v>
      </c>
      <c r="L34" s="37">
        <v>1</v>
      </c>
      <c r="M34" s="37">
        <f>L34*5</f>
        <v>5</v>
      </c>
      <c r="N34" s="37">
        <v>100</v>
      </c>
      <c r="O34" s="73" t="s">
        <v>201</v>
      </c>
      <c r="P34" s="38">
        <v>1E-3</v>
      </c>
      <c r="Q34" s="38">
        <f>P34*N34</f>
        <v>0.1</v>
      </c>
      <c r="R34" s="37"/>
      <c r="S34" s="58"/>
    </row>
    <row r="35" spans="1:19">
      <c r="A35" s="1"/>
      <c r="B35" s="47">
        <f t="shared" si="0"/>
        <v>26</v>
      </c>
      <c r="C35" s="54" t="s">
        <v>21</v>
      </c>
      <c r="D35" s="51" t="s">
        <v>51</v>
      </c>
      <c r="E35" s="51" t="s">
        <v>81</v>
      </c>
      <c r="F35" s="71" t="s">
        <v>102</v>
      </c>
      <c r="G35" s="72" t="s">
        <v>120</v>
      </c>
      <c r="H35" s="71" t="s">
        <v>124</v>
      </c>
      <c r="I35" s="51" t="s">
        <v>189</v>
      </c>
      <c r="J35" s="51" t="s">
        <v>152</v>
      </c>
      <c r="K35" s="51" t="s">
        <v>167</v>
      </c>
      <c r="L35" s="51">
        <v>5</v>
      </c>
      <c r="M35" s="51">
        <f t="shared" ref="M35" si="24">L35*5</f>
        <v>25</v>
      </c>
      <c r="N35" s="51">
        <v>100</v>
      </c>
      <c r="O35" s="74" t="s">
        <v>201</v>
      </c>
      <c r="P35" s="52">
        <v>1.1000000000000001E-3</v>
      </c>
      <c r="Q35" s="52">
        <f t="shared" ref="Q35" si="25">P35*N35</f>
        <v>0.11</v>
      </c>
      <c r="R35" s="51"/>
      <c r="S35" s="58"/>
    </row>
    <row r="36" spans="1:19">
      <c r="A36" s="1"/>
      <c r="B36" s="46">
        <f>ROW(B36) - ROW($B$9)</f>
        <v>27</v>
      </c>
      <c r="C36" s="53" t="s">
        <v>22</v>
      </c>
      <c r="D36" s="37" t="s">
        <v>52</v>
      </c>
      <c r="E36" s="37" t="s">
        <v>82</v>
      </c>
      <c r="F36" s="69" t="s">
        <v>186</v>
      </c>
      <c r="G36" s="70" t="s">
        <v>103</v>
      </c>
      <c r="H36" s="69" t="s">
        <v>136</v>
      </c>
      <c r="I36" s="37" t="s">
        <v>189</v>
      </c>
      <c r="J36" s="37" t="s">
        <v>153</v>
      </c>
      <c r="K36" s="37" t="s">
        <v>189</v>
      </c>
      <c r="L36" s="37">
        <v>1</v>
      </c>
      <c r="M36" s="37">
        <f>L36*5</f>
        <v>5</v>
      </c>
      <c r="N36" s="37">
        <v>10</v>
      </c>
      <c r="O36" s="73" t="s">
        <v>201</v>
      </c>
      <c r="P36" s="38">
        <v>0.1729</v>
      </c>
      <c r="Q36" s="38">
        <f>P36*N36</f>
        <v>1.7290000000000001</v>
      </c>
      <c r="R36" s="37"/>
      <c r="S36" s="58"/>
    </row>
    <row r="37" spans="1:19">
      <c r="A37" s="1"/>
      <c r="B37" s="47">
        <f t="shared" si="0"/>
        <v>28</v>
      </c>
      <c r="C37" s="53" t="s">
        <v>23</v>
      </c>
      <c r="D37" s="51" t="s">
        <v>53</v>
      </c>
      <c r="E37" s="51" t="s">
        <v>83</v>
      </c>
      <c r="F37" s="71" t="s">
        <v>104</v>
      </c>
      <c r="G37" s="72" t="s">
        <v>121</v>
      </c>
      <c r="H37" s="71" t="s">
        <v>137</v>
      </c>
      <c r="I37" s="51" t="s">
        <v>189</v>
      </c>
      <c r="J37" s="51" t="s">
        <v>214</v>
      </c>
      <c r="K37" s="51" t="s">
        <v>189</v>
      </c>
      <c r="L37" s="51">
        <v>1</v>
      </c>
      <c r="M37" s="51">
        <f t="shared" ref="M37" si="26">L37*5</f>
        <v>5</v>
      </c>
      <c r="N37" s="51">
        <v>10</v>
      </c>
      <c r="O37" s="74" t="s">
        <v>201</v>
      </c>
      <c r="P37" s="52">
        <v>0.1154</v>
      </c>
      <c r="Q37" s="52">
        <f t="shared" ref="Q37" si="27">P37*N37</f>
        <v>1.1539999999999999</v>
      </c>
      <c r="R37" s="51"/>
      <c r="S37" s="58"/>
    </row>
    <row r="38" spans="1:19" ht="24">
      <c r="A38" s="1"/>
      <c r="B38" s="46">
        <f>ROW(B38) - ROW($B$9)</f>
        <v>29</v>
      </c>
      <c r="C38" s="53" t="s">
        <v>23</v>
      </c>
      <c r="D38" s="37" t="s">
        <v>54</v>
      </c>
      <c r="E38" s="37" t="s">
        <v>84</v>
      </c>
      <c r="F38" s="69" t="s">
        <v>105</v>
      </c>
      <c r="G38" s="70" t="s">
        <v>168</v>
      </c>
      <c r="H38" s="69" t="s">
        <v>138</v>
      </c>
      <c r="I38" s="51" t="s">
        <v>189</v>
      </c>
      <c r="J38" s="37" t="s">
        <v>215</v>
      </c>
      <c r="K38" s="37" t="s">
        <v>189</v>
      </c>
      <c r="L38" s="37">
        <v>1</v>
      </c>
      <c r="M38" s="37">
        <f>L38*5</f>
        <v>5</v>
      </c>
      <c r="N38" s="37">
        <v>10</v>
      </c>
      <c r="O38" s="73" t="s">
        <v>201</v>
      </c>
      <c r="P38" s="38">
        <v>5.3100000000000001E-2</v>
      </c>
      <c r="Q38" s="38">
        <f>P38*N38</f>
        <v>0.53100000000000003</v>
      </c>
      <c r="R38" s="37"/>
      <c r="S38" s="58"/>
    </row>
    <row r="39" spans="1:19">
      <c r="A39" s="1"/>
      <c r="B39" s="47">
        <f t="shared" si="0"/>
        <v>30</v>
      </c>
      <c r="C39" s="53" t="s">
        <v>23</v>
      </c>
      <c r="D39" s="51" t="s">
        <v>55</v>
      </c>
      <c r="E39" s="51" t="s">
        <v>219</v>
      </c>
      <c r="F39" s="71" t="s">
        <v>106</v>
      </c>
      <c r="G39" s="72" t="s">
        <v>122</v>
      </c>
      <c r="H39" s="71" t="s">
        <v>139</v>
      </c>
      <c r="I39" s="37" t="s">
        <v>189</v>
      </c>
      <c r="J39" s="51" t="s">
        <v>216</v>
      </c>
      <c r="K39" s="51" t="s">
        <v>189</v>
      </c>
      <c r="L39" s="51">
        <v>1</v>
      </c>
      <c r="M39" s="51">
        <f t="shared" ref="M39" si="28">L39*5</f>
        <v>5</v>
      </c>
      <c r="N39" s="51">
        <v>6</v>
      </c>
      <c r="O39" s="74" t="s">
        <v>201</v>
      </c>
      <c r="P39" s="52">
        <v>1.4207000000000001</v>
      </c>
      <c r="Q39" s="52">
        <f t="shared" ref="Q39" si="29">P39*N39</f>
        <v>8.5242000000000004</v>
      </c>
      <c r="R39" s="51"/>
      <c r="S39" s="58"/>
    </row>
    <row r="40" spans="1:19" ht="24">
      <c r="A40" s="1"/>
      <c r="B40" s="46">
        <f>ROW(B40) - ROW($B$9)</f>
        <v>31</v>
      </c>
      <c r="C40" s="53" t="s">
        <v>24</v>
      </c>
      <c r="D40" s="37" t="s">
        <v>56</v>
      </c>
      <c r="E40" s="37" t="s">
        <v>85</v>
      </c>
      <c r="F40" s="69" t="s">
        <v>186</v>
      </c>
      <c r="G40" s="69" t="s">
        <v>107</v>
      </c>
      <c r="H40" s="69" t="s">
        <v>197</v>
      </c>
      <c r="I40" s="51" t="s">
        <v>189</v>
      </c>
      <c r="J40" s="37" t="s">
        <v>217</v>
      </c>
      <c r="K40" s="37" t="s">
        <v>169</v>
      </c>
      <c r="L40" s="37">
        <v>1</v>
      </c>
      <c r="M40" s="37">
        <f>L40*5</f>
        <v>5</v>
      </c>
      <c r="N40" s="37">
        <v>10</v>
      </c>
      <c r="O40" s="73" t="s">
        <v>201</v>
      </c>
      <c r="P40" s="38">
        <v>5.74E-2</v>
      </c>
      <c r="Q40" s="38">
        <f>P40*N40</f>
        <v>0.57399999999999995</v>
      </c>
      <c r="R40" s="37"/>
      <c r="S40" s="58"/>
    </row>
    <row r="41" spans="1:19" ht="24">
      <c r="A41" s="1"/>
      <c r="B41" s="47">
        <f t="shared" si="0"/>
        <v>32</v>
      </c>
      <c r="C41" s="54" t="s">
        <v>24</v>
      </c>
      <c r="D41" s="51" t="s">
        <v>57</v>
      </c>
      <c r="E41" s="51" t="s">
        <v>86</v>
      </c>
      <c r="F41" s="69" t="s">
        <v>186</v>
      </c>
      <c r="G41" s="71" t="s">
        <v>108</v>
      </c>
      <c r="H41" s="71" t="s">
        <v>140</v>
      </c>
      <c r="I41" s="51" t="s">
        <v>189</v>
      </c>
      <c r="J41" s="51" t="s">
        <v>218</v>
      </c>
      <c r="K41" s="51" t="s">
        <v>170</v>
      </c>
      <c r="L41" s="51">
        <v>1</v>
      </c>
      <c r="M41" s="51">
        <f t="shared" ref="M41:M47" si="30">L41*5</f>
        <v>5</v>
      </c>
      <c r="N41" s="51">
        <v>10</v>
      </c>
      <c r="O41" s="74" t="s">
        <v>201</v>
      </c>
      <c r="P41" s="52">
        <v>0.27279999999999999</v>
      </c>
      <c r="Q41" s="52">
        <f>P41*N41</f>
        <v>2.7279999999999998</v>
      </c>
      <c r="R41" s="51"/>
      <c r="S41" s="58"/>
    </row>
    <row r="42" spans="1:19" ht="48">
      <c r="A42" s="1"/>
      <c r="B42" s="47">
        <f t="shared" si="0"/>
        <v>33</v>
      </c>
      <c r="C42" s="54" t="s">
        <v>220</v>
      </c>
      <c r="D42" s="51" t="s">
        <v>189</v>
      </c>
      <c r="E42" s="79" t="s">
        <v>236</v>
      </c>
      <c r="F42" s="37" t="s">
        <v>189</v>
      </c>
      <c r="G42" s="51" t="s">
        <v>237</v>
      </c>
      <c r="H42" s="51" t="s">
        <v>189</v>
      </c>
      <c r="I42" s="51" t="s">
        <v>189</v>
      </c>
      <c r="J42" s="51" t="s">
        <v>189</v>
      </c>
      <c r="K42" s="79" t="s">
        <v>189</v>
      </c>
      <c r="L42" s="51">
        <v>3</v>
      </c>
      <c r="M42" s="51">
        <f t="shared" si="30"/>
        <v>15</v>
      </c>
      <c r="N42" s="51">
        <v>17</v>
      </c>
      <c r="O42" s="74" t="s">
        <v>226</v>
      </c>
      <c r="P42" s="52">
        <v>0.69</v>
      </c>
      <c r="Q42" s="52">
        <f>P42*N42</f>
        <v>11.729999999999999</v>
      </c>
      <c r="R42" s="51"/>
      <c r="S42" s="58"/>
    </row>
    <row r="43" spans="1:19" ht="48">
      <c r="A43" s="1"/>
      <c r="B43" s="47">
        <f t="shared" si="0"/>
        <v>34</v>
      </c>
      <c r="C43" s="54" t="s">
        <v>220</v>
      </c>
      <c r="D43" s="51" t="s">
        <v>189</v>
      </c>
      <c r="E43" s="79" t="s">
        <v>236</v>
      </c>
      <c r="F43" s="37" t="s">
        <v>189</v>
      </c>
      <c r="G43" s="51" t="s">
        <v>238</v>
      </c>
      <c r="H43" s="51" t="s">
        <v>189</v>
      </c>
      <c r="I43" s="51" t="s">
        <v>189</v>
      </c>
      <c r="J43" s="51" t="s">
        <v>189</v>
      </c>
      <c r="K43" s="79" t="s">
        <v>189</v>
      </c>
      <c r="L43" s="51">
        <v>2</v>
      </c>
      <c r="M43" s="51">
        <f t="shared" si="30"/>
        <v>10</v>
      </c>
      <c r="N43" s="51">
        <v>12</v>
      </c>
      <c r="O43" s="74" t="s">
        <v>226</v>
      </c>
      <c r="P43" s="52">
        <v>0.69</v>
      </c>
      <c r="Q43" s="52">
        <f>P43*N43</f>
        <v>8.2799999999999994</v>
      </c>
      <c r="R43" s="51"/>
      <c r="S43" s="58"/>
    </row>
    <row r="44" spans="1:19" ht="48">
      <c r="A44" s="1"/>
      <c r="B44" s="47">
        <f t="shared" si="0"/>
        <v>35</v>
      </c>
      <c r="C44" s="54" t="s">
        <v>220</v>
      </c>
      <c r="D44" s="51" t="s">
        <v>189</v>
      </c>
      <c r="E44" s="79" t="s">
        <v>221</v>
      </c>
      <c r="F44" s="37" t="s">
        <v>189</v>
      </c>
      <c r="G44" s="51" t="s">
        <v>189</v>
      </c>
      <c r="H44" s="51" t="s">
        <v>189</v>
      </c>
      <c r="I44" s="51" t="s">
        <v>189</v>
      </c>
      <c r="J44" s="51" t="s">
        <v>189</v>
      </c>
      <c r="K44" s="79" t="s">
        <v>189</v>
      </c>
      <c r="L44" s="51">
        <v>1</v>
      </c>
      <c r="M44" s="51">
        <f t="shared" si="30"/>
        <v>5</v>
      </c>
      <c r="N44" s="51">
        <v>5</v>
      </c>
      <c r="O44" s="74" t="s">
        <v>226</v>
      </c>
      <c r="P44" s="52">
        <v>3.23</v>
      </c>
      <c r="Q44" s="52">
        <f t="shared" ref="Q44:Q47" si="31">P44*N44</f>
        <v>16.149999999999999</v>
      </c>
      <c r="R44" s="51"/>
      <c r="S44" s="58"/>
    </row>
    <row r="45" spans="1:19" ht="48">
      <c r="A45" s="1"/>
      <c r="B45" s="47">
        <f t="shared" si="0"/>
        <v>36</v>
      </c>
      <c r="C45" s="54" t="s">
        <v>220</v>
      </c>
      <c r="D45" s="51" t="s">
        <v>189</v>
      </c>
      <c r="E45" s="79" t="s">
        <v>233</v>
      </c>
      <c r="F45" s="37" t="s">
        <v>189</v>
      </c>
      <c r="G45" s="51" t="s">
        <v>232</v>
      </c>
      <c r="H45" s="51" t="s">
        <v>234</v>
      </c>
      <c r="I45" s="51" t="s">
        <v>189</v>
      </c>
      <c r="J45" s="51" t="s">
        <v>189</v>
      </c>
      <c r="K45" s="79" t="s">
        <v>189</v>
      </c>
      <c r="L45" s="51">
        <v>1</v>
      </c>
      <c r="M45" s="51">
        <f t="shared" si="30"/>
        <v>5</v>
      </c>
      <c r="N45" s="51">
        <v>5</v>
      </c>
      <c r="O45" s="74" t="s">
        <v>226</v>
      </c>
      <c r="P45" s="52">
        <v>3.18</v>
      </c>
      <c r="Q45" s="52">
        <f t="shared" si="31"/>
        <v>15.9</v>
      </c>
      <c r="R45" s="51"/>
      <c r="S45" s="58"/>
    </row>
    <row r="46" spans="1:19">
      <c r="A46" s="1"/>
      <c r="B46" s="47">
        <f t="shared" si="0"/>
        <v>37</v>
      </c>
      <c r="C46" s="54" t="s">
        <v>220</v>
      </c>
      <c r="D46" s="51" t="s">
        <v>189</v>
      </c>
      <c r="E46" s="79" t="s">
        <v>222</v>
      </c>
      <c r="F46" s="37" t="s">
        <v>189</v>
      </c>
      <c r="G46" s="51" t="s">
        <v>223</v>
      </c>
      <c r="H46" s="51" t="s">
        <v>224</v>
      </c>
      <c r="I46" s="51" t="s">
        <v>189</v>
      </c>
      <c r="J46" s="51" t="s">
        <v>227</v>
      </c>
      <c r="K46" s="79" t="s">
        <v>189</v>
      </c>
      <c r="L46" s="51">
        <v>1</v>
      </c>
      <c r="M46" s="51">
        <f t="shared" si="30"/>
        <v>5</v>
      </c>
      <c r="N46" s="51">
        <v>5</v>
      </c>
      <c r="O46" s="74" t="s">
        <v>201</v>
      </c>
      <c r="P46" s="52">
        <v>0.1147</v>
      </c>
      <c r="Q46" s="52">
        <f t="shared" si="31"/>
        <v>0.57350000000000001</v>
      </c>
      <c r="R46" s="51"/>
      <c r="S46" s="58"/>
    </row>
    <row r="47" spans="1:19" ht="48.75" thickBot="1">
      <c r="A47" s="1"/>
      <c r="B47" s="47">
        <f t="shared" si="0"/>
        <v>38</v>
      </c>
      <c r="C47" s="54" t="s">
        <v>220</v>
      </c>
      <c r="D47" s="51" t="s">
        <v>189</v>
      </c>
      <c r="E47" s="79" t="s">
        <v>225</v>
      </c>
      <c r="F47" s="37" t="s">
        <v>189</v>
      </c>
      <c r="G47" s="51" t="s">
        <v>189</v>
      </c>
      <c r="H47" s="51" t="s">
        <v>189</v>
      </c>
      <c r="I47" s="51" t="s">
        <v>189</v>
      </c>
      <c r="J47" s="51" t="s">
        <v>189</v>
      </c>
      <c r="K47" s="79" t="s">
        <v>189</v>
      </c>
      <c r="L47" s="51">
        <v>1</v>
      </c>
      <c r="M47" s="51">
        <f t="shared" si="30"/>
        <v>5</v>
      </c>
      <c r="N47" s="51">
        <v>5</v>
      </c>
      <c r="O47" s="74" t="s">
        <v>226</v>
      </c>
      <c r="P47" s="52">
        <v>6.29</v>
      </c>
      <c r="Q47" s="52">
        <f t="shared" si="31"/>
        <v>31.45</v>
      </c>
      <c r="R47" s="51"/>
      <c r="S47" s="39"/>
    </row>
    <row r="48" spans="1:19" ht="19.5" thickBot="1">
      <c r="A48" s="1"/>
      <c r="B48" s="40"/>
      <c r="C48" s="41"/>
      <c r="D48" s="42"/>
      <c r="E48" s="43"/>
      <c r="F48" s="44"/>
      <c r="G48" s="45"/>
      <c r="H48" s="44"/>
      <c r="I48" s="45"/>
      <c r="J48" s="44"/>
      <c r="K48" s="45"/>
      <c r="L48" s="45"/>
      <c r="M48" s="45"/>
      <c r="N48" s="67" t="s">
        <v>5</v>
      </c>
      <c r="O48" s="68"/>
      <c r="P48" s="68"/>
      <c r="Q48" s="48">
        <f>SUM(Q10:Q47)</f>
        <v>117.3797</v>
      </c>
      <c r="R48" s="63"/>
      <c r="S48" s="64"/>
    </row>
    <row r="49" spans="1:19" ht="19.5" thickBot="1">
      <c r="A49" s="1"/>
      <c r="B49" s="25"/>
      <c r="C49" s="36"/>
      <c r="D49" s="9"/>
      <c r="E49" s="10"/>
      <c r="F49" s="10"/>
      <c r="G49" s="10"/>
      <c r="H49" s="10"/>
      <c r="I49" s="10"/>
      <c r="J49" s="10"/>
      <c r="K49" s="10"/>
      <c r="L49" s="10"/>
      <c r="M49" s="10"/>
      <c r="N49" s="67" t="s">
        <v>6</v>
      </c>
      <c r="O49" s="68"/>
      <c r="P49" s="68"/>
      <c r="Q49" s="49">
        <f>Q48/5</f>
        <v>23.475940000000001</v>
      </c>
      <c r="R49" s="65"/>
      <c r="S49" s="66"/>
    </row>
  </sheetData>
  <mergeCells count="5">
    <mergeCell ref="K1:S1"/>
    <mergeCell ref="S3:S8"/>
    <mergeCell ref="R48:S49"/>
    <mergeCell ref="N48:P48"/>
    <mergeCell ref="N49:P49"/>
  </mergeCells>
  <hyperlinks>
    <hyperlink ref="O12" r:id="rId1"/>
    <hyperlink ref="O17" r:id="rId2"/>
    <hyperlink ref="O20" r:id="rId3"/>
    <hyperlink ref="O21" r:id="rId4"/>
    <hyperlink ref="O10" r:id="rId5"/>
    <hyperlink ref="O11" r:id="rId6"/>
    <hyperlink ref="O13" r:id="rId7"/>
    <hyperlink ref="O14" r:id="rId8"/>
    <hyperlink ref="O15" r:id="rId9"/>
    <hyperlink ref="O16" r:id="rId10"/>
    <hyperlink ref="O18" r:id="rId11"/>
    <hyperlink ref="O19" r:id="rId12"/>
    <hyperlink ref="O22" r:id="rId13"/>
    <hyperlink ref="O24" r:id="rId14"/>
    <hyperlink ref="O25" r:id="rId15"/>
    <hyperlink ref="O26" r:id="rId16"/>
    <hyperlink ref="O27" r:id="rId17"/>
    <hyperlink ref="O29" r:id="rId18"/>
    <hyperlink ref="O30" r:id="rId19"/>
    <hyperlink ref="O31" r:id="rId20"/>
    <hyperlink ref="O32" r:id="rId21"/>
    <hyperlink ref="O33" r:id="rId22"/>
    <hyperlink ref="O34" r:id="rId23"/>
    <hyperlink ref="O35" r:id="rId24"/>
    <hyperlink ref="O36" r:id="rId25"/>
    <hyperlink ref="O37" r:id="rId26"/>
    <hyperlink ref="O38" r:id="rId27"/>
    <hyperlink ref="O39" r:id="rId28"/>
    <hyperlink ref="O40" r:id="rId29"/>
    <hyperlink ref="O41" r:id="rId30"/>
    <hyperlink ref="O44" r:id="rId31"/>
    <hyperlink ref="O46" r:id="rId32"/>
    <hyperlink ref="O47" r:id="rId33"/>
    <hyperlink ref="O45" r:id="rId34"/>
    <hyperlink ref="O42" r:id="rId35"/>
    <hyperlink ref="O43" r:id="rId36"/>
  </hyperlinks>
  <pageMargins left="0.7" right="0.7" top="0.75" bottom="0.75" header="0.3" footer="0.3"/>
  <pageSetup paperSize="9" orientation="portrait" r:id="rId37"/>
  <drawing r:id="rId3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9"/>
  <sheetViews>
    <sheetView topLeftCell="E34" workbookViewId="0">
      <selection activeCell="Q49" sqref="Q49"/>
    </sheetView>
  </sheetViews>
  <sheetFormatPr defaultRowHeight="15"/>
  <cols>
    <col min="2" max="2" width="3" bestFit="1" customWidth="1"/>
    <col min="3" max="3" width="14.140625" customWidth="1"/>
    <col min="4" max="4" width="31.140625" bestFit="1" customWidth="1"/>
    <col min="5" max="5" width="26.7109375" customWidth="1"/>
    <col min="6" max="6" width="11.85546875" customWidth="1"/>
    <col min="7" max="7" width="25.28515625" bestFit="1" customWidth="1"/>
    <col min="8" max="8" width="15.5703125" customWidth="1"/>
    <col min="9" max="9" width="21.5703125" bestFit="1" customWidth="1"/>
    <col min="10" max="10" width="17" bestFit="1" customWidth="1"/>
    <col min="11" max="11" width="8.42578125" bestFit="1" customWidth="1"/>
    <col min="12" max="12" width="8.7109375" bestFit="1" customWidth="1"/>
    <col min="13" max="13" width="18.28515625" bestFit="1" customWidth="1"/>
    <col min="14" max="14" width="16.140625" bestFit="1" customWidth="1"/>
    <col min="15" max="15" width="11.7109375" customWidth="1"/>
    <col min="16" max="16" width="19.7109375" bestFit="1" customWidth="1"/>
    <col min="17" max="17" width="20.28515625" bestFit="1" customWidth="1"/>
    <col min="18" max="18" width="8.5703125" bestFit="1" customWidth="1"/>
    <col min="19" max="19" width="26.140625" customWidth="1"/>
  </cols>
  <sheetData>
    <row r="1" spans="1:19" ht="15.75" thickBot="1">
      <c r="A1" s="1"/>
      <c r="B1" s="20"/>
      <c r="C1" s="20"/>
      <c r="D1" s="2"/>
      <c r="E1" s="2"/>
      <c r="F1" s="2"/>
      <c r="G1" s="2"/>
      <c r="H1" s="2"/>
      <c r="I1" s="2"/>
      <c r="J1" s="2"/>
      <c r="K1" s="59"/>
      <c r="L1" s="59"/>
      <c r="M1" s="59"/>
      <c r="N1" s="59"/>
      <c r="O1" s="59"/>
      <c r="P1" s="59"/>
      <c r="Q1" s="59"/>
      <c r="R1" s="59"/>
      <c r="S1" s="60"/>
    </row>
    <row r="2" spans="1:19" ht="32.25" thickBot="1">
      <c r="A2" s="1"/>
      <c r="B2" s="21"/>
      <c r="C2" s="31"/>
      <c r="D2" s="11" t="s">
        <v>0</v>
      </c>
      <c r="E2" s="11"/>
      <c r="F2" s="55" t="s">
        <v>172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>
      <c r="A3" s="1"/>
      <c r="B3" s="22"/>
      <c r="C3" s="32"/>
      <c r="D3" s="13" t="s">
        <v>1</v>
      </c>
      <c r="E3" s="13"/>
      <c r="F3" s="56" t="s">
        <v>173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61"/>
    </row>
    <row r="4" spans="1:19">
      <c r="A4" s="1"/>
      <c r="B4" s="22"/>
      <c r="C4" s="32"/>
      <c r="D4" s="13" t="s">
        <v>2</v>
      </c>
      <c r="E4" s="13"/>
      <c r="F4" s="56" t="s">
        <v>173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62"/>
    </row>
    <row r="5" spans="1:19">
      <c r="A5" s="1"/>
      <c r="B5" s="22"/>
      <c r="C5" s="32"/>
      <c r="D5" s="13" t="s">
        <v>3</v>
      </c>
      <c r="E5" s="13"/>
      <c r="F5" s="57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62"/>
    </row>
    <row r="6" spans="1:19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62"/>
    </row>
    <row r="7" spans="1:19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62"/>
    </row>
    <row r="8" spans="1:19" ht="15.75" thickBot="1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62"/>
    </row>
    <row r="9" spans="1:19" ht="15.75" thickBot="1">
      <c r="A9" s="1"/>
      <c r="B9" s="30" t="s">
        <v>4</v>
      </c>
      <c r="C9" s="30" t="s">
        <v>8</v>
      </c>
      <c r="D9" s="30" t="s">
        <v>25</v>
      </c>
      <c r="E9" s="30" t="s">
        <v>58</v>
      </c>
      <c r="F9" s="30" t="s">
        <v>87</v>
      </c>
      <c r="G9" s="30" t="s">
        <v>109</v>
      </c>
      <c r="H9" s="30" t="s">
        <v>123</v>
      </c>
      <c r="I9" s="30" t="s">
        <v>174</v>
      </c>
      <c r="J9" s="30" t="s">
        <v>141</v>
      </c>
      <c r="K9" s="30" t="s">
        <v>175</v>
      </c>
      <c r="L9" s="30" t="s">
        <v>171</v>
      </c>
      <c r="M9" s="30" t="s">
        <v>228</v>
      </c>
      <c r="N9" s="30" t="s">
        <v>229</v>
      </c>
      <c r="O9" s="30" t="s">
        <v>178</v>
      </c>
      <c r="P9" s="30" t="s">
        <v>230</v>
      </c>
      <c r="Q9" s="30" t="s">
        <v>231</v>
      </c>
      <c r="R9" s="30" t="s">
        <v>181</v>
      </c>
      <c r="S9" s="30" t="s">
        <v>182</v>
      </c>
    </row>
    <row r="10" spans="1:19" s="82" customFormat="1">
      <c r="A10" s="80"/>
      <c r="B10" s="46">
        <f>ROW(B10) - ROW($B$9)</f>
        <v>1</v>
      </c>
      <c r="C10" s="53" t="s">
        <v>9</v>
      </c>
      <c r="D10" s="37" t="s">
        <v>26</v>
      </c>
      <c r="E10" s="37" t="s">
        <v>199</v>
      </c>
      <c r="F10" s="69" t="s">
        <v>88</v>
      </c>
      <c r="G10" s="70" t="s">
        <v>110</v>
      </c>
      <c r="H10" s="69" t="s">
        <v>124</v>
      </c>
      <c r="I10" s="37" t="s">
        <v>189</v>
      </c>
      <c r="J10" s="37" t="s">
        <v>198</v>
      </c>
      <c r="K10" s="37" t="s">
        <v>154</v>
      </c>
      <c r="L10" s="37">
        <v>8</v>
      </c>
      <c r="M10" s="37">
        <f>L10*10</f>
        <v>80</v>
      </c>
      <c r="N10" s="37">
        <v>100</v>
      </c>
      <c r="O10" s="73" t="s">
        <v>201</v>
      </c>
      <c r="P10" s="38">
        <v>1.17E-2</v>
      </c>
      <c r="Q10" s="38">
        <f>P10*N10</f>
        <v>1.17</v>
      </c>
      <c r="R10" s="37"/>
      <c r="S10" s="81"/>
    </row>
    <row r="11" spans="1:19" s="82" customFormat="1">
      <c r="A11" s="80"/>
      <c r="B11" s="47">
        <f t="shared" ref="B11:B47" si="0">ROW(B11) - ROW($B$9)</f>
        <v>2</v>
      </c>
      <c r="C11" s="53" t="s">
        <v>9</v>
      </c>
      <c r="D11" s="51" t="s">
        <v>27</v>
      </c>
      <c r="E11" s="51" t="s">
        <v>59</v>
      </c>
      <c r="F11" s="71" t="s">
        <v>88</v>
      </c>
      <c r="G11" s="72" t="s">
        <v>111</v>
      </c>
      <c r="H11" s="71" t="s">
        <v>125</v>
      </c>
      <c r="I11" s="51" t="s">
        <v>189</v>
      </c>
      <c r="J11" s="51" t="s">
        <v>142</v>
      </c>
      <c r="K11" s="51" t="s">
        <v>155</v>
      </c>
      <c r="L11" s="51">
        <v>2</v>
      </c>
      <c r="M11" s="37">
        <f t="shared" ref="M11:M47" si="1">L11*10</f>
        <v>20</v>
      </c>
      <c r="N11" s="51">
        <v>40</v>
      </c>
      <c r="O11" s="74" t="s">
        <v>201</v>
      </c>
      <c r="P11" s="52">
        <v>1.9300000000000001E-2</v>
      </c>
      <c r="Q11" s="52">
        <f t="shared" ref="Q11" si="2">P11*N11</f>
        <v>0.77200000000000002</v>
      </c>
      <c r="R11" s="51"/>
      <c r="S11" s="51"/>
    </row>
    <row r="12" spans="1:19" s="82" customFormat="1" ht="48">
      <c r="A12" s="80"/>
      <c r="B12" s="46">
        <f>ROW(B12) - ROW($B$9)</f>
        <v>3</v>
      </c>
      <c r="C12" s="53" t="s">
        <v>9</v>
      </c>
      <c r="D12" s="37" t="s">
        <v>28</v>
      </c>
      <c r="E12" s="37" t="s">
        <v>60</v>
      </c>
      <c r="F12" s="69" t="s">
        <v>88</v>
      </c>
      <c r="G12" s="70" t="s">
        <v>183</v>
      </c>
      <c r="H12" s="69" t="s">
        <v>184</v>
      </c>
      <c r="I12" s="37" t="s">
        <v>189</v>
      </c>
      <c r="J12" s="37" t="s">
        <v>200</v>
      </c>
      <c r="K12" s="37" t="s">
        <v>156</v>
      </c>
      <c r="L12" s="37">
        <v>1</v>
      </c>
      <c r="M12" s="37">
        <f t="shared" si="1"/>
        <v>10</v>
      </c>
      <c r="N12" s="37">
        <v>100</v>
      </c>
      <c r="O12" s="73" t="s">
        <v>201</v>
      </c>
      <c r="P12" s="38">
        <v>3.8999999999999998E-3</v>
      </c>
      <c r="Q12" s="38">
        <f>P12*N12</f>
        <v>0.38999999999999996</v>
      </c>
      <c r="R12" s="37"/>
      <c r="S12" s="58"/>
    </row>
    <row r="13" spans="1:19" s="82" customFormat="1" ht="24">
      <c r="A13" s="80"/>
      <c r="B13" s="47">
        <f t="shared" si="0"/>
        <v>4</v>
      </c>
      <c r="C13" s="53" t="s">
        <v>9</v>
      </c>
      <c r="D13" s="51" t="s">
        <v>29</v>
      </c>
      <c r="E13" s="51" t="s">
        <v>61</v>
      </c>
      <c r="F13" s="71" t="s">
        <v>88</v>
      </c>
      <c r="G13" s="72" t="s">
        <v>112</v>
      </c>
      <c r="H13" s="71" t="s">
        <v>124</v>
      </c>
      <c r="I13" s="51" t="s">
        <v>189</v>
      </c>
      <c r="J13" s="51" t="s">
        <v>143</v>
      </c>
      <c r="K13" s="51" t="s">
        <v>157</v>
      </c>
      <c r="L13" s="51">
        <v>2</v>
      </c>
      <c r="M13" s="37">
        <f t="shared" si="1"/>
        <v>20</v>
      </c>
      <c r="N13" s="51">
        <v>100</v>
      </c>
      <c r="O13" s="74" t="s">
        <v>201</v>
      </c>
      <c r="P13" s="52">
        <v>2.8999999999999998E-3</v>
      </c>
      <c r="Q13" s="52">
        <f t="shared" ref="Q13" si="3">P13*N13</f>
        <v>0.28999999999999998</v>
      </c>
      <c r="R13" s="51"/>
      <c r="S13" s="58"/>
    </row>
    <row r="14" spans="1:19" s="82" customFormat="1" ht="24">
      <c r="A14" s="80"/>
      <c r="B14" s="46">
        <f>ROW(B14) - ROW($B$9)</f>
        <v>5</v>
      </c>
      <c r="C14" s="53" t="s">
        <v>9</v>
      </c>
      <c r="D14" s="37" t="s">
        <v>30</v>
      </c>
      <c r="E14" s="37" t="s">
        <v>62</v>
      </c>
      <c r="F14" s="69" t="s">
        <v>88</v>
      </c>
      <c r="G14" s="70" t="s">
        <v>113</v>
      </c>
      <c r="H14" s="69" t="s">
        <v>124</v>
      </c>
      <c r="I14" s="37" t="s">
        <v>189</v>
      </c>
      <c r="J14" s="37" t="s">
        <v>144</v>
      </c>
      <c r="K14" s="37" t="s">
        <v>158</v>
      </c>
      <c r="L14" s="37">
        <v>2</v>
      </c>
      <c r="M14" s="37">
        <f t="shared" si="1"/>
        <v>20</v>
      </c>
      <c r="N14" s="37">
        <v>100</v>
      </c>
      <c r="O14" s="73" t="s">
        <v>201</v>
      </c>
      <c r="P14" s="38">
        <v>3.0000000000000001E-3</v>
      </c>
      <c r="Q14" s="38">
        <f>P14*N14</f>
        <v>0.3</v>
      </c>
      <c r="R14" s="37"/>
      <c r="S14" s="58"/>
    </row>
    <row r="15" spans="1:19" s="82" customFormat="1" ht="48">
      <c r="A15" s="80"/>
      <c r="B15" s="47">
        <f t="shared" si="0"/>
        <v>6</v>
      </c>
      <c r="C15" s="54" t="s">
        <v>9</v>
      </c>
      <c r="D15" s="51" t="s">
        <v>31</v>
      </c>
      <c r="E15" s="51" t="s">
        <v>63</v>
      </c>
      <c r="F15" s="71" t="s">
        <v>88</v>
      </c>
      <c r="G15" s="72" t="s">
        <v>185</v>
      </c>
      <c r="H15" s="71" t="s">
        <v>126</v>
      </c>
      <c r="I15" s="51" t="s">
        <v>189</v>
      </c>
      <c r="J15" s="51" t="s">
        <v>202</v>
      </c>
      <c r="K15" s="51" t="s">
        <v>159</v>
      </c>
      <c r="L15" s="51">
        <v>1</v>
      </c>
      <c r="M15" s="37">
        <f t="shared" si="1"/>
        <v>10</v>
      </c>
      <c r="N15" s="51">
        <v>100</v>
      </c>
      <c r="O15" s="74" t="s">
        <v>201</v>
      </c>
      <c r="P15" s="52">
        <v>4.1999999999999997E-3</v>
      </c>
      <c r="Q15" s="52">
        <f t="shared" ref="Q15" si="4">P15*N15</f>
        <v>0.42</v>
      </c>
      <c r="R15" s="51"/>
      <c r="S15" s="58"/>
    </row>
    <row r="16" spans="1:19" s="82" customFormat="1" ht="24">
      <c r="A16" s="80"/>
      <c r="B16" s="46">
        <f>ROW(B16) - ROW($B$9)</f>
        <v>7</v>
      </c>
      <c r="C16" s="53" t="s">
        <v>10</v>
      </c>
      <c r="D16" s="37" t="s">
        <v>32</v>
      </c>
      <c r="E16" s="37" t="s">
        <v>64</v>
      </c>
      <c r="F16" s="69" t="s">
        <v>89</v>
      </c>
      <c r="G16" s="70" t="s">
        <v>114</v>
      </c>
      <c r="H16" s="69" t="s">
        <v>127</v>
      </c>
      <c r="I16" s="37" t="s">
        <v>189</v>
      </c>
      <c r="J16" s="37" t="s">
        <v>145</v>
      </c>
      <c r="K16" s="37" t="s">
        <v>189</v>
      </c>
      <c r="L16" s="37">
        <v>1</v>
      </c>
      <c r="M16" s="37">
        <f t="shared" si="1"/>
        <v>10</v>
      </c>
      <c r="N16" s="37">
        <v>20</v>
      </c>
      <c r="O16" s="73" t="s">
        <v>201</v>
      </c>
      <c r="P16" s="38">
        <v>3.39E-2</v>
      </c>
      <c r="Q16" s="38">
        <f>P16*N16</f>
        <v>0.67799999999999994</v>
      </c>
      <c r="R16" s="37"/>
      <c r="S16" s="58"/>
    </row>
    <row r="17" spans="1:19" s="82" customFormat="1" ht="48">
      <c r="A17" s="80"/>
      <c r="B17" s="47">
        <f t="shared" si="0"/>
        <v>8</v>
      </c>
      <c r="C17" s="54" t="s">
        <v>10</v>
      </c>
      <c r="D17" s="51" t="s">
        <v>33</v>
      </c>
      <c r="E17" s="51" t="s">
        <v>204</v>
      </c>
      <c r="F17" s="71" t="s">
        <v>90</v>
      </c>
      <c r="G17" s="72" t="s">
        <v>160</v>
      </c>
      <c r="H17" s="71" t="s">
        <v>128</v>
      </c>
      <c r="I17" s="51" t="s">
        <v>189</v>
      </c>
      <c r="J17" s="51" t="s">
        <v>203</v>
      </c>
      <c r="K17" s="51" t="s">
        <v>189</v>
      </c>
      <c r="L17" s="51">
        <v>1</v>
      </c>
      <c r="M17" s="37">
        <f t="shared" si="1"/>
        <v>10</v>
      </c>
      <c r="N17" s="51">
        <v>50</v>
      </c>
      <c r="O17" s="74" t="s">
        <v>201</v>
      </c>
      <c r="P17" s="52">
        <v>1.03E-2</v>
      </c>
      <c r="Q17" s="52">
        <f t="shared" ref="Q17" si="5">P17*N17</f>
        <v>0.51500000000000001</v>
      </c>
      <c r="R17" s="51"/>
      <c r="S17" s="58"/>
    </row>
    <row r="18" spans="1:19" s="82" customFormat="1" ht="24">
      <c r="A18" s="80"/>
      <c r="B18" s="46">
        <f>ROW(B18) - ROW($B$9)</f>
        <v>9</v>
      </c>
      <c r="C18" s="53" t="s">
        <v>11</v>
      </c>
      <c r="D18" s="37" t="s">
        <v>34</v>
      </c>
      <c r="E18" s="37" t="s">
        <v>65</v>
      </c>
      <c r="F18" s="69" t="s">
        <v>91</v>
      </c>
      <c r="G18" s="70" t="s">
        <v>115</v>
      </c>
      <c r="H18" s="69" t="s">
        <v>129</v>
      </c>
      <c r="I18" s="37" t="s">
        <v>189</v>
      </c>
      <c r="J18" s="37" t="s">
        <v>146</v>
      </c>
      <c r="K18" s="37" t="s">
        <v>189</v>
      </c>
      <c r="L18" s="37">
        <v>1</v>
      </c>
      <c r="M18" s="37">
        <f t="shared" si="1"/>
        <v>10</v>
      </c>
      <c r="N18" s="37">
        <v>15</v>
      </c>
      <c r="O18" s="73" t="s">
        <v>201</v>
      </c>
      <c r="P18" s="38">
        <v>0.22370000000000001</v>
      </c>
      <c r="Q18" s="38">
        <f>P18*N18</f>
        <v>3.3555000000000001</v>
      </c>
      <c r="R18" s="37"/>
      <c r="S18" s="58"/>
    </row>
    <row r="19" spans="1:19" s="82" customFormat="1" ht="24">
      <c r="A19" s="80"/>
      <c r="B19" s="47">
        <f t="shared" si="0"/>
        <v>10</v>
      </c>
      <c r="C19" s="54" t="s">
        <v>12</v>
      </c>
      <c r="D19" s="51" t="s">
        <v>35</v>
      </c>
      <c r="E19" s="51" t="s">
        <v>66</v>
      </c>
      <c r="F19" s="71" t="s">
        <v>92</v>
      </c>
      <c r="G19" s="72" t="s">
        <v>116</v>
      </c>
      <c r="H19" s="71" t="s">
        <v>130</v>
      </c>
      <c r="I19" s="51" t="s">
        <v>189</v>
      </c>
      <c r="J19" s="51" t="s">
        <v>147</v>
      </c>
      <c r="K19" s="51" t="s">
        <v>189</v>
      </c>
      <c r="L19" s="51">
        <v>1</v>
      </c>
      <c r="M19" s="37">
        <f t="shared" si="1"/>
        <v>10</v>
      </c>
      <c r="N19" s="51">
        <v>20</v>
      </c>
      <c r="O19" s="74" t="s">
        <v>201</v>
      </c>
      <c r="P19" s="52">
        <v>8.0299999999999996E-2</v>
      </c>
      <c r="Q19" s="52">
        <f t="shared" ref="Q19" si="6">P19*N19</f>
        <v>1.6059999999999999</v>
      </c>
      <c r="R19" s="51"/>
      <c r="S19" s="58"/>
    </row>
    <row r="20" spans="1:19" s="82" customFormat="1" ht="72">
      <c r="A20" s="80"/>
      <c r="B20" s="46">
        <f>ROW(B20) - ROW($B$9)</f>
        <v>11</v>
      </c>
      <c r="C20" s="53" t="s">
        <v>13</v>
      </c>
      <c r="D20" s="37" t="s">
        <v>36</v>
      </c>
      <c r="E20" s="37" t="s">
        <v>67</v>
      </c>
      <c r="F20" s="69" t="s">
        <v>186</v>
      </c>
      <c r="G20" s="69" t="s">
        <v>93</v>
      </c>
      <c r="H20" s="69" t="s">
        <v>187</v>
      </c>
      <c r="I20" s="37" t="s">
        <v>189</v>
      </c>
      <c r="J20" s="37" t="s">
        <v>205</v>
      </c>
      <c r="K20" s="37" t="s">
        <v>189</v>
      </c>
      <c r="L20" s="37">
        <v>3</v>
      </c>
      <c r="M20" s="37">
        <f t="shared" si="1"/>
        <v>30</v>
      </c>
      <c r="N20" s="37">
        <v>35</v>
      </c>
      <c r="O20" s="73" t="s">
        <v>201</v>
      </c>
      <c r="P20" s="38">
        <v>7.5800000000000006E-2</v>
      </c>
      <c r="Q20" s="38">
        <f>P20*N20</f>
        <v>2.653</v>
      </c>
      <c r="R20" s="37"/>
      <c r="S20" s="58"/>
    </row>
    <row r="21" spans="1:19" s="82" customFormat="1" ht="60">
      <c r="A21" s="80"/>
      <c r="B21" s="47">
        <f t="shared" si="0"/>
        <v>12</v>
      </c>
      <c r="C21" s="54" t="s">
        <v>14</v>
      </c>
      <c r="D21" s="51" t="s">
        <v>37</v>
      </c>
      <c r="E21" s="51" t="s">
        <v>68</v>
      </c>
      <c r="F21" s="69" t="s">
        <v>186</v>
      </c>
      <c r="G21" s="71" t="s">
        <v>94</v>
      </c>
      <c r="H21" s="71" t="s">
        <v>188</v>
      </c>
      <c r="I21" s="51" t="s">
        <v>189</v>
      </c>
      <c r="J21" s="51" t="s">
        <v>206</v>
      </c>
      <c r="K21" s="51" t="s">
        <v>189</v>
      </c>
      <c r="L21" s="51">
        <v>1</v>
      </c>
      <c r="M21" s="37">
        <f t="shared" si="1"/>
        <v>10</v>
      </c>
      <c r="N21" s="51">
        <v>20</v>
      </c>
      <c r="O21" s="74" t="s">
        <v>201</v>
      </c>
      <c r="P21" s="52">
        <v>4.0399999999999998E-2</v>
      </c>
      <c r="Q21" s="52">
        <f t="shared" ref="Q21" si="7">P21*N21</f>
        <v>0.80799999999999994</v>
      </c>
      <c r="R21" s="51"/>
      <c r="S21" s="58"/>
    </row>
    <row r="22" spans="1:19" s="82" customFormat="1" ht="36">
      <c r="A22" s="80"/>
      <c r="B22" s="46">
        <f>ROW(B22) - ROW($B$9)</f>
        <v>13</v>
      </c>
      <c r="C22" s="53" t="s">
        <v>15</v>
      </c>
      <c r="D22" s="37" t="s">
        <v>38</v>
      </c>
      <c r="E22" s="37" t="s">
        <v>69</v>
      </c>
      <c r="F22" s="69" t="s">
        <v>95</v>
      </c>
      <c r="G22" s="70" t="s">
        <v>117</v>
      </c>
      <c r="H22" s="69" t="s">
        <v>131</v>
      </c>
      <c r="I22" s="37" t="s">
        <v>189</v>
      </c>
      <c r="J22" s="37" t="s">
        <v>148</v>
      </c>
      <c r="K22" s="37"/>
      <c r="L22" s="37">
        <v>2</v>
      </c>
      <c r="M22" s="37">
        <f t="shared" si="1"/>
        <v>20</v>
      </c>
      <c r="N22" s="37">
        <v>40</v>
      </c>
      <c r="O22" s="73" t="s">
        <v>201</v>
      </c>
      <c r="P22" s="38">
        <v>4.02E-2</v>
      </c>
      <c r="Q22" s="38">
        <f>P22*N22</f>
        <v>1.6080000000000001</v>
      </c>
      <c r="R22" s="37"/>
      <c r="S22" s="58"/>
    </row>
    <row r="23" spans="1:19" s="82" customFormat="1" ht="25.5">
      <c r="A23" s="80"/>
      <c r="B23" s="47">
        <f t="shared" si="0"/>
        <v>14</v>
      </c>
      <c r="C23" s="54" t="s">
        <v>16</v>
      </c>
      <c r="D23" s="75" t="s">
        <v>39</v>
      </c>
      <c r="E23" s="75" t="s">
        <v>70</v>
      </c>
      <c r="F23" s="75" t="s">
        <v>186</v>
      </c>
      <c r="G23" s="76" t="s">
        <v>96</v>
      </c>
      <c r="H23" s="75" t="s">
        <v>189</v>
      </c>
      <c r="I23" s="75" t="s">
        <v>189</v>
      </c>
      <c r="J23" s="75" t="s">
        <v>189</v>
      </c>
      <c r="K23" s="75" t="s">
        <v>161</v>
      </c>
      <c r="L23" s="75">
        <v>5</v>
      </c>
      <c r="M23" s="75">
        <f t="shared" si="1"/>
        <v>50</v>
      </c>
      <c r="N23" s="75" t="s">
        <v>189</v>
      </c>
      <c r="O23" s="75" t="s">
        <v>189</v>
      </c>
      <c r="P23" s="77" t="s">
        <v>189</v>
      </c>
      <c r="Q23" s="77" t="s">
        <v>189</v>
      </c>
      <c r="R23" s="75"/>
      <c r="S23" s="78"/>
    </row>
    <row r="24" spans="1:19" s="82" customFormat="1" ht="72">
      <c r="A24" s="80"/>
      <c r="B24" s="46">
        <f>ROW(B24) - ROW($B$9)</f>
        <v>15</v>
      </c>
      <c r="C24" s="53" t="s">
        <v>17</v>
      </c>
      <c r="D24" s="37" t="s">
        <v>40</v>
      </c>
      <c r="E24" s="37" t="s">
        <v>71</v>
      </c>
      <c r="F24" s="69" t="s">
        <v>186</v>
      </c>
      <c r="G24" s="69" t="s">
        <v>97</v>
      </c>
      <c r="H24" s="69" t="s">
        <v>190</v>
      </c>
      <c r="I24" s="37" t="s">
        <v>189</v>
      </c>
      <c r="J24" s="37" t="s">
        <v>207</v>
      </c>
      <c r="K24" s="37" t="s">
        <v>189</v>
      </c>
      <c r="L24" s="37">
        <v>1</v>
      </c>
      <c r="M24" s="37">
        <f t="shared" si="1"/>
        <v>10</v>
      </c>
      <c r="N24" s="37">
        <v>15</v>
      </c>
      <c r="O24" s="73" t="s">
        <v>201</v>
      </c>
      <c r="P24" s="38">
        <v>6.2399999999999997E-2</v>
      </c>
      <c r="Q24" s="38">
        <f>P24*N24</f>
        <v>0.93599999999999994</v>
      </c>
      <c r="R24" s="37"/>
      <c r="S24" s="58"/>
    </row>
    <row r="25" spans="1:19" s="82" customFormat="1" ht="24">
      <c r="A25" s="80"/>
      <c r="B25" s="47">
        <f t="shared" si="0"/>
        <v>16</v>
      </c>
      <c r="C25" s="54" t="s">
        <v>17</v>
      </c>
      <c r="D25" s="51" t="s">
        <v>41</v>
      </c>
      <c r="E25" s="51" t="s">
        <v>72</v>
      </c>
      <c r="F25" s="69" t="s">
        <v>186</v>
      </c>
      <c r="G25" s="71" t="s">
        <v>98</v>
      </c>
      <c r="H25" s="71" t="s">
        <v>132</v>
      </c>
      <c r="I25" s="51" t="s">
        <v>189</v>
      </c>
      <c r="J25" s="51" t="s">
        <v>208</v>
      </c>
      <c r="K25" s="51"/>
      <c r="L25" s="51">
        <v>1</v>
      </c>
      <c r="M25" s="37">
        <f t="shared" si="1"/>
        <v>10</v>
      </c>
      <c r="N25" s="51">
        <v>15</v>
      </c>
      <c r="O25" s="74" t="s">
        <v>201</v>
      </c>
      <c r="P25" s="52">
        <v>0.15590000000000001</v>
      </c>
      <c r="Q25" s="52">
        <f t="shared" ref="Q25" si="8">P25*N25</f>
        <v>2.3385000000000002</v>
      </c>
      <c r="R25" s="51"/>
      <c r="S25" s="58"/>
    </row>
    <row r="26" spans="1:19" s="82" customFormat="1" ht="36">
      <c r="A26" s="80"/>
      <c r="B26" s="46">
        <f>ROW(B26) - ROW($B$9)</f>
        <v>17</v>
      </c>
      <c r="C26" s="53" t="s">
        <v>18</v>
      </c>
      <c r="D26" s="37" t="s">
        <v>42</v>
      </c>
      <c r="E26" s="37" t="s">
        <v>73</v>
      </c>
      <c r="F26" s="69" t="s">
        <v>186</v>
      </c>
      <c r="G26" s="70" t="s">
        <v>99</v>
      </c>
      <c r="H26" s="69" t="s">
        <v>133</v>
      </c>
      <c r="I26" s="37" t="s">
        <v>189</v>
      </c>
      <c r="J26" s="37" t="s">
        <v>149</v>
      </c>
      <c r="K26" s="37"/>
      <c r="L26" s="37">
        <v>2</v>
      </c>
      <c r="M26" s="37">
        <f t="shared" si="1"/>
        <v>20</v>
      </c>
      <c r="N26" s="37">
        <v>25</v>
      </c>
      <c r="O26" s="73" t="s">
        <v>201</v>
      </c>
      <c r="P26" s="38">
        <v>0.34439999999999998</v>
      </c>
      <c r="Q26" s="38">
        <f>P26*N26</f>
        <v>8.61</v>
      </c>
      <c r="R26" s="37"/>
      <c r="S26" s="58"/>
    </row>
    <row r="27" spans="1:19" s="82" customFormat="1" ht="60">
      <c r="A27" s="80"/>
      <c r="B27" s="47">
        <f t="shared" si="0"/>
        <v>18</v>
      </c>
      <c r="C27" s="54" t="s">
        <v>19</v>
      </c>
      <c r="D27" s="51" t="s">
        <v>43</v>
      </c>
      <c r="E27" s="51" t="s">
        <v>74</v>
      </c>
      <c r="F27" s="71" t="s">
        <v>100</v>
      </c>
      <c r="G27" s="72" t="s">
        <v>191</v>
      </c>
      <c r="H27" s="71" t="s">
        <v>134</v>
      </c>
      <c r="I27" s="51" t="s">
        <v>189</v>
      </c>
      <c r="J27" s="51" t="s">
        <v>209</v>
      </c>
      <c r="K27" s="51"/>
      <c r="L27" s="51">
        <v>1</v>
      </c>
      <c r="M27" s="37">
        <f t="shared" si="1"/>
        <v>10</v>
      </c>
      <c r="N27" s="51">
        <v>100</v>
      </c>
      <c r="O27" s="74" t="s">
        <v>201</v>
      </c>
      <c r="P27" s="52">
        <v>2.5999999999999999E-3</v>
      </c>
      <c r="Q27" s="52">
        <f t="shared" ref="Q27" si="9">P27*N27</f>
        <v>0.26</v>
      </c>
      <c r="R27" s="51"/>
      <c r="S27" s="58"/>
    </row>
    <row r="28" spans="1:19" s="82" customFormat="1">
      <c r="A28" s="80"/>
      <c r="B28" s="46">
        <f>ROW(B28) - ROW($B$9)</f>
        <v>19</v>
      </c>
      <c r="C28" s="53" t="s">
        <v>20</v>
      </c>
      <c r="D28" s="75" t="s">
        <v>44</v>
      </c>
      <c r="E28" s="75" t="s">
        <v>75</v>
      </c>
      <c r="F28" s="75" t="s">
        <v>186</v>
      </c>
      <c r="G28" s="76" t="s">
        <v>101</v>
      </c>
      <c r="H28" s="75" t="s">
        <v>189</v>
      </c>
      <c r="I28" s="75" t="s">
        <v>189</v>
      </c>
      <c r="J28" s="75" t="s">
        <v>189</v>
      </c>
      <c r="K28" s="75" t="s">
        <v>161</v>
      </c>
      <c r="L28" s="75">
        <v>3</v>
      </c>
      <c r="M28" s="75">
        <f t="shared" si="1"/>
        <v>30</v>
      </c>
      <c r="N28" s="75" t="s">
        <v>189</v>
      </c>
      <c r="O28" s="75" t="s">
        <v>189</v>
      </c>
      <c r="P28" s="77" t="s">
        <v>189</v>
      </c>
      <c r="Q28" s="77" t="s">
        <v>189</v>
      </c>
      <c r="R28" s="75"/>
      <c r="S28" s="78"/>
    </row>
    <row r="29" spans="1:19" s="82" customFormat="1" ht="48">
      <c r="A29" s="80"/>
      <c r="B29" s="47">
        <f t="shared" si="0"/>
        <v>20</v>
      </c>
      <c r="C29" s="54" t="s">
        <v>21</v>
      </c>
      <c r="D29" s="51" t="s">
        <v>45</v>
      </c>
      <c r="E29" s="51" t="s">
        <v>76</v>
      </c>
      <c r="F29" s="71" t="s">
        <v>102</v>
      </c>
      <c r="G29" s="72" t="s">
        <v>192</v>
      </c>
      <c r="H29" s="71" t="s">
        <v>135</v>
      </c>
      <c r="I29" s="51" t="s">
        <v>189</v>
      </c>
      <c r="J29" s="51" t="s">
        <v>210</v>
      </c>
      <c r="K29" s="51" t="s">
        <v>162</v>
      </c>
      <c r="L29" s="51">
        <v>2</v>
      </c>
      <c r="M29" s="37">
        <f t="shared" si="1"/>
        <v>20</v>
      </c>
      <c r="N29" s="51">
        <v>100</v>
      </c>
      <c r="O29" s="74" t="s">
        <v>201</v>
      </c>
      <c r="P29" s="52">
        <v>1E-3</v>
      </c>
      <c r="Q29" s="52">
        <f t="shared" ref="Q29" si="10">P29*N29</f>
        <v>0.1</v>
      </c>
      <c r="R29" s="51"/>
      <c r="S29" s="58"/>
    </row>
    <row r="30" spans="1:19" s="82" customFormat="1" ht="48">
      <c r="A30" s="80"/>
      <c r="B30" s="46">
        <f>ROW(B30) - ROW($B$9)</f>
        <v>21</v>
      </c>
      <c r="C30" s="53" t="s">
        <v>21</v>
      </c>
      <c r="D30" s="37" t="s">
        <v>46</v>
      </c>
      <c r="E30" s="37" t="s">
        <v>235</v>
      </c>
      <c r="F30" s="69" t="s">
        <v>102</v>
      </c>
      <c r="G30" s="70" t="s">
        <v>193</v>
      </c>
      <c r="H30" s="69" t="s">
        <v>135</v>
      </c>
      <c r="I30" s="37" t="s">
        <v>189</v>
      </c>
      <c r="J30" s="37" t="s">
        <v>211</v>
      </c>
      <c r="K30" s="37" t="s">
        <v>163</v>
      </c>
      <c r="L30" s="37">
        <v>1</v>
      </c>
      <c r="M30" s="37">
        <f t="shared" si="1"/>
        <v>10</v>
      </c>
      <c r="N30" s="37">
        <v>100</v>
      </c>
      <c r="O30" s="73" t="s">
        <v>201</v>
      </c>
      <c r="P30" s="38">
        <v>1E-3</v>
      </c>
      <c r="Q30" s="38">
        <f>P30*N30</f>
        <v>0.1</v>
      </c>
      <c r="R30" s="37"/>
      <c r="S30" s="58"/>
    </row>
    <row r="31" spans="1:19" s="82" customFormat="1" ht="24">
      <c r="A31" s="80"/>
      <c r="B31" s="47">
        <f t="shared" si="0"/>
        <v>22</v>
      </c>
      <c r="C31" s="54" t="s">
        <v>21</v>
      </c>
      <c r="D31" s="51" t="s">
        <v>47</v>
      </c>
      <c r="E31" s="51" t="s">
        <v>77</v>
      </c>
      <c r="F31" s="71" t="s">
        <v>102</v>
      </c>
      <c r="G31" s="72" t="s">
        <v>118</v>
      </c>
      <c r="H31" s="71" t="s">
        <v>124</v>
      </c>
      <c r="I31" s="51" t="s">
        <v>189</v>
      </c>
      <c r="J31" s="51" t="s">
        <v>150</v>
      </c>
      <c r="K31" s="51" t="s">
        <v>164</v>
      </c>
      <c r="L31" s="51">
        <v>7</v>
      </c>
      <c r="M31" s="37">
        <f t="shared" si="1"/>
        <v>70</v>
      </c>
      <c r="N31" s="51">
        <v>80</v>
      </c>
      <c r="O31" s="74" t="s">
        <v>201</v>
      </c>
      <c r="P31" s="52">
        <v>2.12E-2</v>
      </c>
      <c r="Q31" s="52">
        <f t="shared" ref="Q31" si="11">P31*N31</f>
        <v>1.696</v>
      </c>
      <c r="R31" s="51"/>
      <c r="S31" s="58"/>
    </row>
    <row r="32" spans="1:19" s="82" customFormat="1" ht="48">
      <c r="A32" s="80"/>
      <c r="B32" s="46">
        <f>ROW(B32) - ROW($B$9)</f>
        <v>23</v>
      </c>
      <c r="C32" s="54" t="s">
        <v>21</v>
      </c>
      <c r="D32" s="37" t="s">
        <v>48</v>
      </c>
      <c r="E32" s="37" t="s">
        <v>78</v>
      </c>
      <c r="F32" s="69" t="s">
        <v>102</v>
      </c>
      <c r="G32" s="70" t="s">
        <v>194</v>
      </c>
      <c r="H32" s="69" t="s">
        <v>195</v>
      </c>
      <c r="I32" s="51" t="s">
        <v>189</v>
      </c>
      <c r="J32" s="37" t="s">
        <v>212</v>
      </c>
      <c r="K32" s="37" t="s">
        <v>165</v>
      </c>
      <c r="L32" s="37">
        <v>1</v>
      </c>
      <c r="M32" s="37">
        <f t="shared" si="1"/>
        <v>10</v>
      </c>
      <c r="N32" s="37">
        <v>100</v>
      </c>
      <c r="O32" s="73" t="s">
        <v>201</v>
      </c>
      <c r="P32" s="38">
        <v>1E-3</v>
      </c>
      <c r="Q32" s="38">
        <f>P32*N32</f>
        <v>0.1</v>
      </c>
      <c r="R32" s="37"/>
      <c r="S32" s="58"/>
    </row>
    <row r="33" spans="1:19" s="82" customFormat="1" ht="24">
      <c r="A33" s="80"/>
      <c r="B33" s="47">
        <f t="shared" si="0"/>
        <v>24</v>
      </c>
      <c r="C33" s="54" t="s">
        <v>21</v>
      </c>
      <c r="D33" s="51" t="s">
        <v>49</v>
      </c>
      <c r="E33" s="51" t="s">
        <v>79</v>
      </c>
      <c r="F33" s="71" t="s">
        <v>102</v>
      </c>
      <c r="G33" s="72" t="s">
        <v>119</v>
      </c>
      <c r="H33" s="71" t="s">
        <v>124</v>
      </c>
      <c r="I33" s="37" t="s">
        <v>189</v>
      </c>
      <c r="J33" s="51" t="s">
        <v>151</v>
      </c>
      <c r="K33" s="51" t="s">
        <v>164</v>
      </c>
      <c r="L33" s="51">
        <v>1</v>
      </c>
      <c r="M33" s="37">
        <f t="shared" si="1"/>
        <v>10</v>
      </c>
      <c r="N33" s="51">
        <v>100</v>
      </c>
      <c r="O33" s="74" t="s">
        <v>201</v>
      </c>
      <c r="P33" s="52">
        <v>1E-3</v>
      </c>
      <c r="Q33" s="52">
        <f t="shared" ref="Q33" si="12">P33*N33</f>
        <v>0.1</v>
      </c>
      <c r="R33" s="51"/>
      <c r="S33" s="58"/>
    </row>
    <row r="34" spans="1:19" s="82" customFormat="1" ht="48">
      <c r="A34" s="80"/>
      <c r="B34" s="46">
        <f>ROW(B34) - ROW($B$9)</f>
        <v>25</v>
      </c>
      <c r="C34" s="53" t="s">
        <v>21</v>
      </c>
      <c r="D34" s="37" t="s">
        <v>50</v>
      </c>
      <c r="E34" s="37" t="s">
        <v>80</v>
      </c>
      <c r="F34" s="69" t="s">
        <v>102</v>
      </c>
      <c r="G34" s="70" t="s">
        <v>196</v>
      </c>
      <c r="H34" s="69" t="s">
        <v>135</v>
      </c>
      <c r="I34" s="51" t="s">
        <v>189</v>
      </c>
      <c r="J34" s="37" t="s">
        <v>213</v>
      </c>
      <c r="K34" s="37" t="s">
        <v>166</v>
      </c>
      <c r="L34" s="37">
        <v>1</v>
      </c>
      <c r="M34" s="37">
        <f t="shared" si="1"/>
        <v>10</v>
      </c>
      <c r="N34" s="37">
        <v>100</v>
      </c>
      <c r="O34" s="73" t="s">
        <v>201</v>
      </c>
      <c r="P34" s="38">
        <v>1E-3</v>
      </c>
      <c r="Q34" s="38">
        <f>P34*N34</f>
        <v>0.1</v>
      </c>
      <c r="R34" s="37"/>
      <c r="S34" s="58"/>
    </row>
    <row r="35" spans="1:19" s="82" customFormat="1">
      <c r="A35" s="80"/>
      <c r="B35" s="47">
        <f t="shared" si="0"/>
        <v>26</v>
      </c>
      <c r="C35" s="54" t="s">
        <v>21</v>
      </c>
      <c r="D35" s="51" t="s">
        <v>51</v>
      </c>
      <c r="E35" s="51" t="s">
        <v>81</v>
      </c>
      <c r="F35" s="71" t="s">
        <v>102</v>
      </c>
      <c r="G35" s="72" t="s">
        <v>120</v>
      </c>
      <c r="H35" s="71" t="s">
        <v>124</v>
      </c>
      <c r="I35" s="51" t="s">
        <v>189</v>
      </c>
      <c r="J35" s="51" t="s">
        <v>152</v>
      </c>
      <c r="K35" s="51" t="s">
        <v>167</v>
      </c>
      <c r="L35" s="51">
        <v>5</v>
      </c>
      <c r="M35" s="37">
        <f t="shared" si="1"/>
        <v>50</v>
      </c>
      <c r="N35" s="51">
        <v>100</v>
      </c>
      <c r="O35" s="74" t="s">
        <v>201</v>
      </c>
      <c r="P35" s="52">
        <v>1.1000000000000001E-3</v>
      </c>
      <c r="Q35" s="52">
        <f t="shared" ref="Q35" si="13">P35*N35</f>
        <v>0.11</v>
      </c>
      <c r="R35" s="51"/>
      <c r="S35" s="58"/>
    </row>
    <row r="36" spans="1:19" s="82" customFormat="1" ht="24">
      <c r="A36" s="80"/>
      <c r="B36" s="46">
        <f>ROW(B36) - ROW($B$9)</f>
        <v>27</v>
      </c>
      <c r="C36" s="53" t="s">
        <v>22</v>
      </c>
      <c r="D36" s="37" t="s">
        <v>52</v>
      </c>
      <c r="E36" s="37" t="s">
        <v>82</v>
      </c>
      <c r="F36" s="69" t="s">
        <v>186</v>
      </c>
      <c r="G36" s="70" t="s">
        <v>103</v>
      </c>
      <c r="H36" s="69" t="s">
        <v>136</v>
      </c>
      <c r="I36" s="37" t="s">
        <v>189</v>
      </c>
      <c r="J36" s="37" t="s">
        <v>153</v>
      </c>
      <c r="K36" s="37" t="s">
        <v>189</v>
      </c>
      <c r="L36" s="37">
        <v>1</v>
      </c>
      <c r="M36" s="37">
        <f t="shared" si="1"/>
        <v>10</v>
      </c>
      <c r="N36" s="37">
        <v>15</v>
      </c>
      <c r="O36" s="73" t="s">
        <v>201</v>
      </c>
      <c r="P36" s="38">
        <v>0.1729</v>
      </c>
      <c r="Q36" s="38">
        <f>P36*N36</f>
        <v>2.5935000000000001</v>
      </c>
      <c r="R36" s="37"/>
      <c r="S36" s="58"/>
    </row>
    <row r="37" spans="1:19" s="82" customFormat="1" ht="24">
      <c r="A37" s="80"/>
      <c r="B37" s="47">
        <f t="shared" si="0"/>
        <v>28</v>
      </c>
      <c r="C37" s="53" t="s">
        <v>23</v>
      </c>
      <c r="D37" s="51" t="s">
        <v>53</v>
      </c>
      <c r="E37" s="51" t="s">
        <v>83</v>
      </c>
      <c r="F37" s="71" t="s">
        <v>104</v>
      </c>
      <c r="G37" s="72" t="s">
        <v>121</v>
      </c>
      <c r="H37" s="71" t="s">
        <v>137</v>
      </c>
      <c r="I37" s="51" t="s">
        <v>189</v>
      </c>
      <c r="J37" s="51" t="s">
        <v>214</v>
      </c>
      <c r="K37" s="51" t="s">
        <v>189</v>
      </c>
      <c r="L37" s="51">
        <v>1</v>
      </c>
      <c r="M37" s="37">
        <f t="shared" si="1"/>
        <v>10</v>
      </c>
      <c r="N37" s="51">
        <v>15</v>
      </c>
      <c r="O37" s="74" t="s">
        <v>201</v>
      </c>
      <c r="P37" s="52">
        <v>0.1154</v>
      </c>
      <c r="Q37" s="52">
        <f t="shared" ref="Q37" si="14">P37*N37</f>
        <v>1.7310000000000001</v>
      </c>
      <c r="R37" s="51"/>
      <c r="S37" s="58"/>
    </row>
    <row r="38" spans="1:19" s="82" customFormat="1" ht="24">
      <c r="A38" s="80"/>
      <c r="B38" s="46">
        <f>ROW(B38) - ROW($B$9)</f>
        <v>29</v>
      </c>
      <c r="C38" s="53" t="s">
        <v>23</v>
      </c>
      <c r="D38" s="37" t="s">
        <v>54</v>
      </c>
      <c r="E38" s="37" t="s">
        <v>84</v>
      </c>
      <c r="F38" s="69" t="s">
        <v>105</v>
      </c>
      <c r="G38" s="70" t="s">
        <v>168</v>
      </c>
      <c r="H38" s="69" t="s">
        <v>138</v>
      </c>
      <c r="I38" s="51" t="s">
        <v>189</v>
      </c>
      <c r="J38" s="37" t="s">
        <v>215</v>
      </c>
      <c r="K38" s="37" t="s">
        <v>189</v>
      </c>
      <c r="L38" s="37">
        <v>1</v>
      </c>
      <c r="M38" s="37">
        <f t="shared" si="1"/>
        <v>10</v>
      </c>
      <c r="N38" s="37">
        <v>20</v>
      </c>
      <c r="O38" s="73" t="s">
        <v>201</v>
      </c>
      <c r="P38" s="38">
        <v>5.3100000000000001E-2</v>
      </c>
      <c r="Q38" s="38">
        <f>P38*N38</f>
        <v>1.0620000000000001</v>
      </c>
      <c r="R38" s="37"/>
      <c r="S38" s="58"/>
    </row>
    <row r="39" spans="1:19" s="82" customFormat="1" ht="24">
      <c r="A39" s="80"/>
      <c r="B39" s="47">
        <f t="shared" si="0"/>
        <v>30</v>
      </c>
      <c r="C39" s="53" t="s">
        <v>23</v>
      </c>
      <c r="D39" s="51" t="s">
        <v>55</v>
      </c>
      <c r="E39" s="51" t="s">
        <v>219</v>
      </c>
      <c r="F39" s="71" t="s">
        <v>106</v>
      </c>
      <c r="G39" s="72" t="s">
        <v>122</v>
      </c>
      <c r="H39" s="71" t="s">
        <v>139</v>
      </c>
      <c r="I39" s="37" t="s">
        <v>189</v>
      </c>
      <c r="J39" s="51" t="s">
        <v>216</v>
      </c>
      <c r="K39" s="51" t="s">
        <v>189</v>
      </c>
      <c r="L39" s="51">
        <v>1</v>
      </c>
      <c r="M39" s="37">
        <f t="shared" si="1"/>
        <v>10</v>
      </c>
      <c r="N39" s="51">
        <v>11</v>
      </c>
      <c r="O39" s="74" t="s">
        <v>201</v>
      </c>
      <c r="P39" s="52">
        <v>1.2553000000000001</v>
      </c>
      <c r="Q39" s="52">
        <f t="shared" ref="Q39" si="15">P39*N39</f>
        <v>13.808300000000001</v>
      </c>
      <c r="R39" s="51"/>
      <c r="S39" s="58"/>
    </row>
    <row r="40" spans="1:19" s="82" customFormat="1" ht="24">
      <c r="A40" s="80"/>
      <c r="B40" s="46">
        <f>ROW(B40) - ROW($B$9)</f>
        <v>31</v>
      </c>
      <c r="C40" s="53" t="s">
        <v>24</v>
      </c>
      <c r="D40" s="37" t="s">
        <v>56</v>
      </c>
      <c r="E40" s="37" t="s">
        <v>85</v>
      </c>
      <c r="F40" s="69" t="s">
        <v>186</v>
      </c>
      <c r="G40" s="69" t="s">
        <v>107</v>
      </c>
      <c r="H40" s="69" t="s">
        <v>197</v>
      </c>
      <c r="I40" s="51" t="s">
        <v>189</v>
      </c>
      <c r="J40" s="37" t="s">
        <v>217</v>
      </c>
      <c r="K40" s="37" t="s">
        <v>169</v>
      </c>
      <c r="L40" s="37">
        <v>1</v>
      </c>
      <c r="M40" s="37">
        <f t="shared" si="1"/>
        <v>10</v>
      </c>
      <c r="N40" s="37">
        <v>20</v>
      </c>
      <c r="O40" s="73" t="s">
        <v>201</v>
      </c>
      <c r="P40" s="38">
        <v>5.74E-2</v>
      </c>
      <c r="Q40" s="38">
        <f>P40*N40</f>
        <v>1.1479999999999999</v>
      </c>
      <c r="R40" s="37"/>
      <c r="S40" s="58"/>
    </row>
    <row r="41" spans="1:19" s="82" customFormat="1" ht="24">
      <c r="A41" s="80"/>
      <c r="B41" s="47">
        <f t="shared" si="0"/>
        <v>32</v>
      </c>
      <c r="C41" s="54" t="s">
        <v>24</v>
      </c>
      <c r="D41" s="51" t="s">
        <v>57</v>
      </c>
      <c r="E41" s="51" t="s">
        <v>86</v>
      </c>
      <c r="F41" s="69" t="s">
        <v>186</v>
      </c>
      <c r="G41" s="71" t="s">
        <v>108</v>
      </c>
      <c r="H41" s="71" t="s">
        <v>140</v>
      </c>
      <c r="I41" s="51" t="s">
        <v>189</v>
      </c>
      <c r="J41" s="51" t="s">
        <v>218</v>
      </c>
      <c r="K41" s="51" t="s">
        <v>170</v>
      </c>
      <c r="L41" s="51">
        <v>1</v>
      </c>
      <c r="M41" s="37">
        <f t="shared" si="1"/>
        <v>10</v>
      </c>
      <c r="N41" s="51">
        <v>15</v>
      </c>
      <c r="O41" s="74" t="s">
        <v>201</v>
      </c>
      <c r="P41" s="52">
        <v>0.27279999999999999</v>
      </c>
      <c r="Q41" s="52">
        <f>P41*N41</f>
        <v>4.0919999999999996</v>
      </c>
      <c r="R41" s="51"/>
      <c r="S41" s="58"/>
    </row>
    <row r="42" spans="1:19" ht="60">
      <c r="A42" s="1"/>
      <c r="B42" s="47">
        <f t="shared" si="0"/>
        <v>33</v>
      </c>
      <c r="C42" s="54" t="s">
        <v>220</v>
      </c>
      <c r="D42" s="51" t="s">
        <v>189</v>
      </c>
      <c r="E42" s="79" t="s">
        <v>236</v>
      </c>
      <c r="F42" s="37" t="s">
        <v>189</v>
      </c>
      <c r="G42" s="51" t="s">
        <v>237</v>
      </c>
      <c r="H42" s="51" t="s">
        <v>189</v>
      </c>
      <c r="I42" s="51" t="s">
        <v>189</v>
      </c>
      <c r="J42" s="51" t="s">
        <v>189</v>
      </c>
      <c r="K42" s="79" t="s">
        <v>189</v>
      </c>
      <c r="L42" s="51">
        <v>3</v>
      </c>
      <c r="M42" s="37">
        <f t="shared" si="1"/>
        <v>30</v>
      </c>
      <c r="N42" s="51">
        <v>32</v>
      </c>
      <c r="O42" s="74" t="s">
        <v>226</v>
      </c>
      <c r="P42" s="52">
        <v>0.69</v>
      </c>
      <c r="Q42" s="52">
        <f>P42*N42</f>
        <v>22.08</v>
      </c>
      <c r="R42" s="51"/>
      <c r="S42" s="58"/>
    </row>
    <row r="43" spans="1:19" ht="60">
      <c r="A43" s="1"/>
      <c r="B43" s="47">
        <f t="shared" si="0"/>
        <v>34</v>
      </c>
      <c r="C43" s="54" t="s">
        <v>220</v>
      </c>
      <c r="D43" s="51" t="s">
        <v>189</v>
      </c>
      <c r="E43" s="79" t="s">
        <v>236</v>
      </c>
      <c r="F43" s="37" t="s">
        <v>189</v>
      </c>
      <c r="G43" s="51" t="s">
        <v>238</v>
      </c>
      <c r="H43" s="51" t="s">
        <v>189</v>
      </c>
      <c r="I43" s="51" t="s">
        <v>189</v>
      </c>
      <c r="J43" s="51" t="s">
        <v>189</v>
      </c>
      <c r="K43" s="79" t="s">
        <v>189</v>
      </c>
      <c r="L43" s="51">
        <v>2</v>
      </c>
      <c r="M43" s="37">
        <f t="shared" si="1"/>
        <v>20</v>
      </c>
      <c r="N43" s="51">
        <v>22</v>
      </c>
      <c r="O43" s="74" t="s">
        <v>226</v>
      </c>
      <c r="P43" s="52">
        <v>0.69</v>
      </c>
      <c r="Q43" s="52">
        <f>P43*N43</f>
        <v>15.18</v>
      </c>
      <c r="R43" s="51"/>
      <c r="S43" s="58"/>
    </row>
    <row r="44" spans="1:19" s="82" customFormat="1" ht="48">
      <c r="A44" s="80"/>
      <c r="B44" s="47">
        <f t="shared" si="0"/>
        <v>35</v>
      </c>
      <c r="C44" s="54" t="s">
        <v>220</v>
      </c>
      <c r="D44" s="51" t="s">
        <v>189</v>
      </c>
      <c r="E44" s="79" t="s">
        <v>221</v>
      </c>
      <c r="F44" s="37" t="s">
        <v>189</v>
      </c>
      <c r="G44" s="51" t="s">
        <v>189</v>
      </c>
      <c r="H44" s="51" t="s">
        <v>189</v>
      </c>
      <c r="I44" s="51" t="s">
        <v>189</v>
      </c>
      <c r="J44" s="51" t="s">
        <v>189</v>
      </c>
      <c r="K44" s="79" t="s">
        <v>189</v>
      </c>
      <c r="L44" s="51">
        <v>1</v>
      </c>
      <c r="M44" s="37">
        <f t="shared" si="1"/>
        <v>10</v>
      </c>
      <c r="N44" s="51">
        <v>10</v>
      </c>
      <c r="O44" s="74" t="s">
        <v>226</v>
      </c>
      <c r="P44" s="52">
        <v>3.23</v>
      </c>
      <c r="Q44" s="52">
        <f t="shared" ref="Q44:Q47" si="16">P44*N44</f>
        <v>32.299999999999997</v>
      </c>
      <c r="R44" s="51"/>
      <c r="S44" s="58"/>
    </row>
    <row r="45" spans="1:19" s="82" customFormat="1" ht="72">
      <c r="A45" s="80"/>
      <c r="B45" s="47">
        <f t="shared" si="0"/>
        <v>36</v>
      </c>
      <c r="C45" s="54" t="s">
        <v>220</v>
      </c>
      <c r="D45" s="51" t="s">
        <v>189</v>
      </c>
      <c r="E45" s="79" t="s">
        <v>233</v>
      </c>
      <c r="F45" s="37" t="s">
        <v>189</v>
      </c>
      <c r="G45" s="51" t="s">
        <v>232</v>
      </c>
      <c r="H45" s="51" t="s">
        <v>234</v>
      </c>
      <c r="I45" s="51" t="s">
        <v>189</v>
      </c>
      <c r="J45" s="51" t="s">
        <v>189</v>
      </c>
      <c r="K45" s="79" t="s">
        <v>189</v>
      </c>
      <c r="L45" s="51">
        <v>1</v>
      </c>
      <c r="M45" s="51">
        <v>10</v>
      </c>
      <c r="N45" s="51">
        <v>10</v>
      </c>
      <c r="O45" s="74" t="s">
        <v>226</v>
      </c>
      <c r="P45" s="52">
        <v>3.18</v>
      </c>
      <c r="Q45" s="52">
        <f t="shared" si="16"/>
        <v>31.8</v>
      </c>
      <c r="R45" s="51"/>
      <c r="S45" s="58"/>
    </row>
    <row r="46" spans="1:19" s="82" customFormat="1">
      <c r="A46" s="80"/>
      <c r="B46" s="47">
        <f t="shared" si="0"/>
        <v>37</v>
      </c>
      <c r="C46" s="54" t="s">
        <v>220</v>
      </c>
      <c r="D46" s="51" t="s">
        <v>189</v>
      </c>
      <c r="E46" s="79" t="s">
        <v>222</v>
      </c>
      <c r="F46" s="37" t="s">
        <v>189</v>
      </c>
      <c r="G46" s="51" t="s">
        <v>223</v>
      </c>
      <c r="H46" s="51" t="s">
        <v>224</v>
      </c>
      <c r="I46" s="51"/>
      <c r="J46" s="51" t="s">
        <v>227</v>
      </c>
      <c r="K46" s="79" t="s">
        <v>189</v>
      </c>
      <c r="L46" s="51">
        <v>1</v>
      </c>
      <c r="M46" s="37">
        <f t="shared" si="1"/>
        <v>10</v>
      </c>
      <c r="N46" s="51">
        <v>10</v>
      </c>
      <c r="O46" s="74" t="s">
        <v>201</v>
      </c>
      <c r="P46" s="52">
        <v>0.1147</v>
      </c>
      <c r="Q46" s="52">
        <f t="shared" si="16"/>
        <v>1.147</v>
      </c>
      <c r="R46" s="51"/>
      <c r="S46" s="58"/>
    </row>
    <row r="47" spans="1:19" s="82" customFormat="1" ht="60.75" thickBot="1">
      <c r="A47" s="80"/>
      <c r="B47" s="47">
        <f t="shared" si="0"/>
        <v>38</v>
      </c>
      <c r="C47" s="54" t="s">
        <v>220</v>
      </c>
      <c r="D47" s="51" t="s">
        <v>189</v>
      </c>
      <c r="E47" s="79" t="s">
        <v>225</v>
      </c>
      <c r="F47" s="37" t="s">
        <v>189</v>
      </c>
      <c r="G47" s="51" t="s">
        <v>189</v>
      </c>
      <c r="H47" s="51" t="s">
        <v>189</v>
      </c>
      <c r="I47" s="51" t="s">
        <v>189</v>
      </c>
      <c r="J47" s="51" t="s">
        <v>189</v>
      </c>
      <c r="K47" s="79" t="s">
        <v>189</v>
      </c>
      <c r="L47" s="51">
        <v>1</v>
      </c>
      <c r="M47" s="37">
        <f t="shared" si="1"/>
        <v>10</v>
      </c>
      <c r="N47" s="51">
        <v>10</v>
      </c>
      <c r="O47" s="74" t="s">
        <v>226</v>
      </c>
      <c r="P47" s="52">
        <v>6.29</v>
      </c>
      <c r="Q47" s="52">
        <f t="shared" si="16"/>
        <v>62.9</v>
      </c>
      <c r="R47" s="51"/>
      <c r="S47" s="39"/>
    </row>
    <row r="48" spans="1:19" ht="19.5" thickBot="1">
      <c r="A48" s="1"/>
      <c r="B48" s="40"/>
      <c r="C48" s="41"/>
      <c r="D48" s="42"/>
      <c r="E48" s="43"/>
      <c r="F48" s="44"/>
      <c r="G48" s="45"/>
      <c r="H48" s="44"/>
      <c r="I48" s="45"/>
      <c r="J48" s="44"/>
      <c r="K48" s="45"/>
      <c r="L48" s="45"/>
      <c r="M48" s="45"/>
      <c r="N48" s="67" t="s">
        <v>5</v>
      </c>
      <c r="O48" s="68"/>
      <c r="P48" s="68"/>
      <c r="Q48" s="48">
        <f>SUM(Q10:Q47)</f>
        <v>218.8578</v>
      </c>
      <c r="R48" s="63"/>
      <c r="S48" s="64"/>
    </row>
    <row r="49" spans="1:19" ht="19.5" thickBot="1">
      <c r="A49" s="1"/>
      <c r="B49" s="25"/>
      <c r="C49" s="36"/>
      <c r="D49" s="9"/>
      <c r="E49" s="10"/>
      <c r="F49" s="10"/>
      <c r="G49" s="10"/>
      <c r="H49" s="10"/>
      <c r="I49" s="10"/>
      <c r="J49" s="10"/>
      <c r="K49" s="10"/>
      <c r="L49" s="10"/>
      <c r="M49" s="10"/>
      <c r="N49" s="67" t="s">
        <v>6</v>
      </c>
      <c r="O49" s="68"/>
      <c r="P49" s="68"/>
      <c r="Q49" s="49">
        <f>Q48/10</f>
        <v>21.88578</v>
      </c>
      <c r="R49" s="65"/>
      <c r="S49" s="66"/>
    </row>
  </sheetData>
  <mergeCells count="5">
    <mergeCell ref="K1:S1"/>
    <mergeCell ref="S3:S8"/>
    <mergeCell ref="N48:P48"/>
    <mergeCell ref="R48:S49"/>
    <mergeCell ref="N49:P49"/>
  </mergeCells>
  <hyperlinks>
    <hyperlink ref="O12" r:id="rId1"/>
    <hyperlink ref="O17" r:id="rId2"/>
    <hyperlink ref="O20" r:id="rId3"/>
    <hyperlink ref="O21" r:id="rId4"/>
    <hyperlink ref="O10" r:id="rId5"/>
    <hyperlink ref="O11" r:id="rId6"/>
    <hyperlink ref="O13" r:id="rId7"/>
    <hyperlink ref="O14" r:id="rId8"/>
    <hyperlink ref="O15" r:id="rId9"/>
    <hyperlink ref="O16" r:id="rId10"/>
    <hyperlink ref="O18" r:id="rId11"/>
    <hyperlink ref="O19" r:id="rId12"/>
    <hyperlink ref="O22" r:id="rId13"/>
    <hyperlink ref="O24" r:id="rId14"/>
    <hyperlink ref="O25" r:id="rId15"/>
    <hyperlink ref="O26" r:id="rId16"/>
    <hyperlink ref="O27" r:id="rId17"/>
    <hyperlink ref="O29" r:id="rId18"/>
    <hyperlink ref="O30" r:id="rId19"/>
    <hyperlink ref="O31" r:id="rId20"/>
    <hyperlink ref="O32" r:id="rId21"/>
    <hyperlink ref="O33" r:id="rId22"/>
    <hyperlink ref="O34" r:id="rId23"/>
    <hyperlink ref="O35" r:id="rId24"/>
    <hyperlink ref="O36" r:id="rId25"/>
    <hyperlink ref="O37" r:id="rId26"/>
    <hyperlink ref="O38" r:id="rId27"/>
    <hyperlink ref="O39" r:id="rId28"/>
    <hyperlink ref="O40" r:id="rId29"/>
    <hyperlink ref="O41" r:id="rId30"/>
    <hyperlink ref="O44" r:id="rId31"/>
    <hyperlink ref="O46" r:id="rId32"/>
    <hyperlink ref="O47" r:id="rId33"/>
    <hyperlink ref="O45" r:id="rId34"/>
    <hyperlink ref="O42" r:id="rId35"/>
    <hyperlink ref="O43" r:id="rId36"/>
  </hyperlinks>
  <pageMargins left="0.7" right="0.7" top="0.75" bottom="0.75" header="0.3" footer="0.3"/>
  <drawing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 Boards</vt:lpstr>
      <vt:lpstr>10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2023-11-20T13:14:12Z</dcterms:modified>
</cp:coreProperties>
</file>