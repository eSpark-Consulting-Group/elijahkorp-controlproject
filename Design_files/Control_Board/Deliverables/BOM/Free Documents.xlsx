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xWindow="28680" windowWidth="29040" windowHeight="158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<sst xmlns="http://schemas.openxmlformats.org/spreadsheetml/2006/main" count="234" uniqueCount="193">
  <si>
    <t>Component list</t>
  </si>
  <si>
    <t>Bill of Materials for PCB Document [Control_Board-v1.0.PcbDoc]</t>
  </si>
  <si>
    <t>Source Data From:</t>
  </si>
  <si>
    <t>Control_Board-v1.0.PcbDoc</t>
  </si>
  <si>
    <t>Project:</t>
  </si>
  <si>
    <t>Free Documents</t>
  </si>
  <si>
    <t>Variant:</t>
  </si>
  <si>
    <t>None</t>
  </si>
  <si>
    <t>#</t>
  </si>
  <si>
    <t>Item Type</t>
  </si>
  <si>
    <t>Designator</t>
  </si>
  <si>
    <t>Description</t>
  </si>
  <si>
    <t>Footprint</t>
  </si>
  <si>
    <t>Manufacturer Part Number</t>
  </si>
  <si>
    <t>Manufacturer</t>
  </si>
  <si>
    <t>#Column Name Error:' Alternate Part Number</t>
  </si>
  <si>
    <t>LCSC Part Number</t>
  </si>
  <si>
    <t>Comment</t>
  </si>
  <si>
    <t>Quantity</t>
  </si>
  <si>
    <t>#Column Name Error:' Quantity (5 Boards)</t>
  </si>
  <si>
    <t>#Column Name Error:' MOQ (5 Boards)</t>
  </si>
  <si>
    <t>#Column Name Error:' Links</t>
  </si>
  <si>
    <t>#Column Name Error:' Unit Cost (5 Boards)</t>
  </si>
  <si>
    <t>#Column Name Error:' Total Cost (5 Boards)</t>
  </si>
  <si>
    <t>#Column Name Error:' Remarks</t>
  </si>
  <si>
    <t>#Column Name Error:' Reviewer Remarks</t>
  </si>
  <si>
    <t>C1, C2, C5, C7, C13, C14, C15, C16</t>
  </si>
  <si>
    <t>CS Series 0603 0.1 uF 25 V ±10% X7R Multilayer Ceramic Capacitor</t>
  </si>
  <si>
    <t>Cap-0603</t>
  </si>
  <si>
    <t>CS0603KRX7R8BB104</t>
  </si>
  <si>
    <t>Yageo</t>
  </si>
  <si>
    <t>0.1uF</t>
  </si>
  <si>
    <t>C3, C6</t>
  </si>
  <si>
    <t>CAP CER 10UF 25V X5R 0603</t>
  </si>
  <si>
    <t>CL10A106MA8NRNC</t>
  </si>
  <si>
    <t>Samsung</t>
  </si>
  <si>
    <t>C96446</t>
  </si>
  <si>
    <t>10uF</t>
  </si>
  <si>
    <t>Capacitor</t>
  </si>
  <si>
    <t>C4</t>
  </si>
  <si>
    <t>25V 22nF X7R 0603 Multilayer Ceramic Capacitors MLCC - SMD/SMT ROHS</t>
  </si>
  <si>
    <t>22nF</t>
  </si>
  <si>
    <t>C8, C11</t>
  </si>
  <si>
    <t>CAP 30pF NP0 0603 50 V ±5 % SMD</t>
  </si>
  <si>
    <t>CC0603JRNPO9BN300</t>
  </si>
  <si>
    <t>C113797</t>
  </si>
  <si>
    <t>30pF</t>
  </si>
  <si>
    <t>C9, C12</t>
  </si>
  <si>
    <t>CAP CER 15PF 50V C0G/NPO 0603</t>
  </si>
  <si>
    <t>CC0603JRNPO9BN150</t>
  </si>
  <si>
    <t>C107037</t>
  </si>
  <si>
    <t>15pF</t>
  </si>
  <si>
    <t>C10</t>
  </si>
  <si>
    <t>1uF 25V X5R ±20% 0603 Multilayer Ceramic Capacitors MLCC - SMD/SMT ROHS</t>
  </si>
  <si>
    <t>CCTC</t>
  </si>
  <si>
    <t>1uF</t>
  </si>
  <si>
    <t>Diode</t>
  </si>
  <si>
    <t>D1</t>
  </si>
  <si>
    <t>TVS DIODE 5VWM 6.3VC DSN0603-2</t>
  </si>
  <si>
    <t>DSN0603-2</t>
  </si>
  <si>
    <t>PESD5V0H1BSFYL</t>
  </si>
  <si>
    <t>Nexperia</t>
  </si>
  <si>
    <t>C477989</t>
  </si>
  <si>
    <t>D2</t>
  </si>
  <si>
    <t>SOT-23</t>
  </si>
  <si>
    <t>Shandong Jingdao Microelectronics</t>
  </si>
  <si>
    <t>BAT54C</t>
  </si>
  <si>
    <t>Fuse</t>
  </si>
  <si>
    <t>F1</t>
  </si>
  <si>
    <t>PTC RESET FUSE 6V 3A 1206</t>
  </si>
  <si>
    <t>Fuse 1206 (3216 Metric)</t>
  </si>
  <si>
    <t>1206L300SLTHYR</t>
  </si>
  <si>
    <t>Littelfuse</t>
  </si>
  <si>
    <t>C207041</t>
  </si>
  <si>
    <t>Ferrite Bead</t>
  </si>
  <si>
    <t>FB1</t>
  </si>
  <si>
    <t>FERRITE BEAD 120 OHM 1206 1LN</t>
  </si>
  <si>
    <t>IND-1206</t>
  </si>
  <si>
    <t>BLM31PG121SN1L</t>
  </si>
  <si>
    <t>Murata</t>
  </si>
  <si>
    <t>C85841</t>
  </si>
  <si>
    <t>100MHz</t>
  </si>
  <si>
    <t>PCB Welding Terminal</t>
  </si>
  <si>
    <t>J1, J14</t>
  </si>
  <si>
    <t>7.5mm 240A 20mm M6 - PCB Welding Terminal ROHS</t>
  </si>
  <si>
    <t>ACTB273-CU-T2</t>
  </si>
  <si>
    <t>ACTB273-Cu-T2</t>
  </si>
  <si>
    <t>CNNT(Shenzhen Connection Elec)</t>
  </si>
  <si>
    <t>Terminal Block</t>
  </si>
  <si>
    <t>J2, J3</t>
  </si>
  <si>
    <t>Tin 2x1P 2 1 7.62mm -40℃~+105℃ 20A 300V Green 12~22 Straight pin Copper Alloy 2.5 Plugin,P=7.62mm Barrier Terminal Blocks ROHS</t>
  </si>
  <si>
    <t>MX7620-7.62-02P-GN01-Cu-S-A</t>
  </si>
  <si>
    <t>USB</t>
  </si>
  <si>
    <t>J4</t>
  </si>
  <si>
    <t>1.8A USB 2.0 1 260℃ Surface Mount 5P Female -40℃~+85℃ Gold Copper Alloy Micro-B SMD USB Connectors ROHS</t>
  </si>
  <si>
    <t>U254-051T-4BH83-F1S</t>
  </si>
  <si>
    <t>Header</t>
  </si>
  <si>
    <t>J5, J6</t>
  </si>
  <si>
    <t>Straight 2.54mm Black Brass 1x4P Plugin,P=2.54mm Pin Headers ROHS</t>
  </si>
  <si>
    <t>HDR1X4_</t>
  </si>
  <si>
    <t>B-2100S04P-A110</t>
  </si>
  <si>
    <t>Ckmtw</t>
  </si>
  <si>
    <t>C124378</t>
  </si>
  <si>
    <t>Through Hole Pads</t>
  </si>
  <si>
    <t>J7, J8, J9, J10, J12</t>
  </si>
  <si>
    <t>Wire Connecting Pads</t>
  </si>
  <si>
    <t>5P Through Hole Pads</t>
  </si>
  <si>
    <t>DNP</t>
  </si>
  <si>
    <t>Connector</t>
  </si>
  <si>
    <t>J11</t>
  </si>
  <si>
    <t>1x4P 1 2mm Male pin 4 -25℃~+85℃ 2A Surface Mount SMD,P=2mm Wire To Board / Wire To Wire Connector ROHS
C3029442</t>
  </si>
  <si>
    <t>WAFER-PH2.0-4PWB</t>
  </si>
  <si>
    <t>J13</t>
  </si>
  <si>
    <t>Battery base CR2032 SMD Battery Connectors ROHS</t>
  </si>
  <si>
    <t>CR2032-BS-6-1</t>
  </si>
  <si>
    <t>Q&amp;J</t>
  </si>
  <si>
    <t>Relay</t>
  </si>
  <si>
    <t>K1, K2</t>
  </si>
  <si>
    <t>5V 10A 20A@14VAC SPDT (1 Form C) 5 Plugin,12.4x16mm Power Relays ROHS</t>
  </si>
  <si>
    <t>SRA-05VDC-CL</t>
  </si>
  <si>
    <t>Ningbo Songle Relay</t>
  </si>
  <si>
    <t>C99666</t>
  </si>
  <si>
    <t>LED</t>
  </si>
  <si>
    <t>LED6</t>
  </si>
  <si>
    <t>Colorless transparence -30℃~+85℃ Positive post 617nm~621nm Red 120° 55mW 0603 Light Emitting Diodes (LED) ROHS</t>
  </si>
  <si>
    <t>LED-0603</t>
  </si>
  <si>
    <t>XINGLIGHT</t>
  </si>
  <si>
    <t>RED</t>
  </si>
  <si>
    <t>TEST POINT</t>
  </si>
  <si>
    <t>P1, P2, P3</t>
  </si>
  <si>
    <t>Test Point ON</t>
  </si>
  <si>
    <t>Test-point</t>
  </si>
  <si>
    <t>Resistor</t>
  </si>
  <si>
    <t>R1, R2</t>
  </si>
  <si>
    <t>100mW Thick Film Resistors ±100ppm/℃ ±1% 20Ω 0603 Chip Resistor - Surface Mount ROHS</t>
  </si>
  <si>
    <t>Res-0603</t>
  </si>
  <si>
    <t>UNI-ROYAL(Uniroyal Elec)</t>
  </si>
  <si>
    <t>20R</t>
  </si>
  <si>
    <t>R3</t>
  </si>
  <si>
    <t>RES SMD 4.7K OHM 5% 1/10W 0603</t>
  </si>
  <si>
    <t>RC0603JR-074K7L</t>
  </si>
  <si>
    <t>C105428</t>
  </si>
  <si>
    <t>4.7K</t>
  </si>
  <si>
    <t>R4, R5, R7, R9, R10, R11, R12, R18</t>
  </si>
  <si>
    <t>RES SMD 10K OHM 0.1% 1/10W 0603, RES SMD 10K Ohm 1% 1/10W 0603</t>
  </si>
  <si>
    <t>RT0603BRD0710KL, RC0603FR-0710KL</t>
  </si>
  <si>
    <t>C95204, C98220</t>
  </si>
  <si>
    <t>10K</t>
  </si>
  <si>
    <t>R6</t>
  </si>
  <si>
    <t>100mW Thick Film Resistors ±100ppm/℃ ±1% 60.4Ω 0603 Chip Resistor - Surface Mount ROHS</t>
  </si>
  <si>
    <t>60.4R</t>
  </si>
  <si>
    <t>R8</t>
  </si>
  <si>
    <t>100mW Thick Film Resistors ±100ppm/℃ ±1% 1MΩ 0603 Chip Resistor - Surface Mount ROHS</t>
  </si>
  <si>
    <t>1M</t>
  </si>
  <si>
    <t>R13, R14, R15, R16, R17</t>
  </si>
  <si>
    <t>RES  SMD 330R 100 mW 0603</t>
  </si>
  <si>
    <t>RC0603JR-07330RL</t>
  </si>
  <si>
    <t>C105879</t>
  </si>
  <si>
    <t>330R</t>
  </si>
  <si>
    <t>Switch</t>
  </si>
  <si>
    <t>SW1</t>
  </si>
  <si>
    <t>SWITCH TACTILE SPST-NO 0.05A 12V</t>
  </si>
  <si>
    <t>B3U-1000P</t>
  </si>
  <si>
    <t>Omron</t>
  </si>
  <si>
    <t>C231329</t>
  </si>
  <si>
    <t>U1</t>
  </si>
  <si>
    <t>IC REG LDO 3.3V 0.3A SOT23-5</t>
  </si>
  <si>
    <t>SOT-23-5</t>
  </si>
  <si>
    <t>RT9193-33GB</t>
  </si>
  <si>
    <t>Richtek</t>
  </si>
  <si>
    <t>IC</t>
  </si>
  <si>
    <t>U2</t>
  </si>
  <si>
    <t>SOT-23-6 Darlington Transistor Arrays ROHS</t>
  </si>
  <si>
    <t>SOT-23-6</t>
  </si>
  <si>
    <t>LANKE</t>
  </si>
  <si>
    <t>LK1802</t>
  </si>
  <si>
    <t>U3</t>
  </si>
  <si>
    <t>ARM Cortex-M3 STM32 F1 Microcontroller 32-Bit 72MHz 64kB FLASH LQFP48 STM32F103C8T6</t>
  </si>
  <si>
    <t>48-LQFP (7x7)_</t>
  </si>
  <si>
    <t>STM32F103C8T6</t>
  </si>
  <si>
    <t>STMicroelectronics</t>
  </si>
  <si>
    <t>Crystal</t>
  </si>
  <si>
    <t>X1</t>
  </si>
  <si>
    <t>8MHz 20pF ±20ppm HC-49S Crystals ROHS</t>
  </si>
  <si>
    <t>71008000RW1</t>
  </si>
  <si>
    <t>8Mhz</t>
  </si>
  <si>
    <t>X2</t>
  </si>
  <si>
    <t>32.768kHz 12.5pF ±20ppm MC-306 Crystals ROHS</t>
  </si>
  <si>
    <t>MC-306</t>
  </si>
  <si>
    <t>Seiko Epson</t>
  </si>
  <si>
    <t>32.768kHz</t>
  </si>
  <si>
    <t xml:space="preserve">Total Component Cost </t>
  </si>
  <si>
    <t>Single Board Cost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</si>
</sst>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h:mm:ss\ AM/PM;@"/>
    <numFmt numFmtId="179" formatCode="&quot;$&quot;#,##0.0000"/>
    <numFmt numFmtId="180" formatCode="&quot;$&quot;#,##0.00"/>
  </numFmts>
  <fonts count="42">
    <font>
      <sz val="11"/>
      <color theme="1"/>
      <name val="Calibri"/>
      <charset val="134"/>
      <scheme val="minor"/>
    </font>
    <font>
      <sz val="10"/>
      <color indexed="13"/>
      <name val="Arial"/>
      <charset val="134"/>
    </font>
    <font>
      <b/>
      <sz val="24"/>
      <color indexed="10"/>
      <name val="Arial"/>
      <charset val="134"/>
    </font>
    <font>
      <b/>
      <sz val="24"/>
      <color theme="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b/>
      <sz val="12"/>
      <color theme="0"/>
      <name val="Arial"/>
      <charset val="134"/>
    </font>
    <font>
      <b/>
      <sz val="10"/>
      <color indexed="10"/>
      <name val="Arial"/>
      <charset val="134"/>
    </font>
    <font>
      <b/>
      <sz val="10"/>
      <color theme="0"/>
      <name val="Calibri"/>
      <charset val="134"/>
      <scheme val="minor"/>
    </font>
    <font>
      <b/>
      <sz val="10"/>
      <color theme="0"/>
      <name val="Arial"/>
      <charset val="134"/>
    </font>
    <font>
      <sz val="10"/>
      <color theme="0"/>
      <name val="Calibri"/>
      <charset val="134"/>
      <scheme val="minor"/>
    </font>
    <font>
      <sz val="10"/>
      <color theme="0"/>
      <name val="Arial"/>
      <charset val="134"/>
    </font>
    <font>
      <sz val="9"/>
      <color indexed="10"/>
      <name val="Arial"/>
      <charset val="134"/>
    </font>
    <font>
      <sz val="9"/>
      <color theme="0"/>
      <name val="Calibri"/>
      <charset val="134"/>
      <scheme val="minor"/>
    </font>
    <font>
      <sz val="9"/>
      <color theme="0"/>
      <name val="Arial"/>
      <charset val="134"/>
    </font>
    <font>
      <sz val="10"/>
      <color indexed="10"/>
      <name val="Arial"/>
      <charset val="134"/>
    </font>
    <font>
      <b/>
      <sz val="11"/>
      <color theme="0"/>
      <name val="Calibri"/>
      <charset val="134"/>
      <scheme val="minor"/>
    </font>
    <font>
      <b/>
      <sz val="10"/>
      <name val="Calibri"/>
      <charset val="134"/>
      <scheme val="minor"/>
    </font>
    <font>
      <sz val="9"/>
      <name val="Calibri"/>
      <charset val="134"/>
      <scheme val="minor"/>
    </font>
    <font>
      <sz val="10"/>
      <name val="Calibri"/>
      <charset val="134"/>
      <scheme val="minor"/>
    </font>
    <font>
      <b/>
      <sz val="14"/>
      <name val="Calibri"/>
      <charset val="134"/>
      <scheme val="minor"/>
    </font>
    <font>
      <b/>
      <sz val="12"/>
      <color indexed="13"/>
      <name val="Arial"/>
      <charset val="134"/>
    </font>
    <font>
      <sz val="9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2" fillId="0" borderId="0" applyFont="0" applyFill="0" applyBorder="0" applyAlignment="0" applyProtection="0">
      <alignment vertical="center"/>
    </xf>
    <xf numFmtId="44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177" fontId="22" fillId="0" borderId="0" applyFont="0" applyFill="0" applyBorder="0" applyAlignment="0" applyProtection="0">
      <alignment vertical="center"/>
    </xf>
    <xf numFmtId="42" fontId="22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2" fillId="5" borderId="21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22" applyNumberFormat="0" applyFill="0" applyAlignment="0" applyProtection="0">
      <alignment vertical="center"/>
    </xf>
    <xf numFmtId="0" fontId="29" fillId="0" borderId="22" applyNumberFormat="0" applyFill="0" applyAlignment="0" applyProtection="0">
      <alignment vertical="center"/>
    </xf>
    <xf numFmtId="0" fontId="30" fillId="0" borderId="23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6" borderId="24" applyNumberFormat="0" applyAlignment="0" applyProtection="0">
      <alignment vertical="center"/>
    </xf>
    <xf numFmtId="0" fontId="32" fillId="7" borderId="25" applyNumberFormat="0" applyAlignment="0" applyProtection="0">
      <alignment vertical="center"/>
    </xf>
    <xf numFmtId="0" fontId="33" fillId="7" borderId="24" applyNumberFormat="0" applyAlignment="0" applyProtection="0">
      <alignment vertical="center"/>
    </xf>
    <xf numFmtId="0" fontId="34" fillId="8" borderId="26" applyNumberFormat="0" applyAlignment="0" applyProtection="0">
      <alignment vertical="center"/>
    </xf>
    <xf numFmtId="0" fontId="35" fillId="0" borderId="27" applyNumberFormat="0" applyFill="0" applyAlignment="0" applyProtection="0">
      <alignment vertical="center"/>
    </xf>
    <xf numFmtId="0" fontId="36" fillId="0" borderId="28" applyNumberFormat="0" applyFill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1" fillId="13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1" fillId="17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1" fillId="21" borderId="0" applyNumberFormat="0" applyBorder="0" applyAlignment="0" applyProtection="0">
      <alignment vertical="center"/>
    </xf>
    <xf numFmtId="0" fontId="41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</cellStyleXfs>
  <cellXfs count="67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1" fillId="2" borderId="1" xfId="0" applyFont="1" applyFill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vertical="center"/>
    </xf>
    <xf numFmtId="0" fontId="4" fillId="3" borderId="4" xfId="0" applyFont="1" applyFill="1" applyBorder="1" applyAlignment="1">
      <alignment vertical="center"/>
    </xf>
    <xf numFmtId="0" fontId="5" fillId="3" borderId="4" xfId="0" applyFont="1" applyFill="1" applyBorder="1" applyAlignment="1">
      <alignment vertical="center"/>
    </xf>
    <xf numFmtId="0" fontId="6" fillId="3" borderId="5" xfId="0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/>
    <xf numFmtId="0" fontId="7" fillId="3" borderId="0" xfId="0" applyFont="1" applyFill="1" applyAlignment="1">
      <alignment horizontal="left"/>
    </xf>
    <xf numFmtId="0" fontId="8" fillId="3" borderId="0" xfId="0" applyFont="1" applyFill="1"/>
    <xf numFmtId="0" fontId="7" fillId="3" borderId="6" xfId="0" applyFont="1" applyFill="1" applyBorder="1" applyAlignment="1">
      <alignment horizontal="left"/>
    </xf>
    <xf numFmtId="0" fontId="9" fillId="3" borderId="6" xfId="0" applyFont="1" applyFill="1" applyBorder="1"/>
    <xf numFmtId="0" fontId="10" fillId="3" borderId="6" xfId="0" applyFont="1" applyFill="1" applyBorder="1"/>
    <xf numFmtId="0" fontId="7" fillId="3" borderId="7" xfId="0" applyFont="1" applyFill="1" applyBorder="1" applyAlignment="1">
      <alignment horizontal="left"/>
    </xf>
    <xf numFmtId="0" fontId="9" fillId="3" borderId="7" xfId="0" applyFont="1" applyFill="1" applyBorder="1"/>
    <xf numFmtId="0" fontId="10" fillId="3" borderId="7" xfId="0" applyFont="1" applyFill="1" applyBorder="1"/>
    <xf numFmtId="0" fontId="6" fillId="3" borderId="8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/>
    </xf>
    <xf numFmtId="0" fontId="7" fillId="3" borderId="7" xfId="0" applyFont="1" applyFill="1" applyBorder="1"/>
    <xf numFmtId="0" fontId="9" fillId="3" borderId="7" xfId="0" applyFont="1" applyFill="1" applyBorder="1" applyAlignment="1">
      <alignment horizontal="left"/>
    </xf>
    <xf numFmtId="0" fontId="11" fillId="3" borderId="5" xfId="0" applyFont="1" applyFill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2" fillId="3" borderId="0" xfId="0" applyFont="1" applyFill="1"/>
    <xf numFmtId="0" fontId="9" fillId="3" borderId="1" xfId="0" applyFont="1" applyFill="1" applyBorder="1" applyAlignment="1">
      <alignment horizontal="left"/>
    </xf>
    <xf numFmtId="0" fontId="13" fillId="3" borderId="0" xfId="0" applyFont="1" applyFill="1"/>
    <xf numFmtId="0" fontId="14" fillId="3" borderId="5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0" fontId="9" fillId="3" borderId="0" xfId="0" applyFont="1" applyFill="1"/>
    <xf numFmtId="178" fontId="9" fillId="3" borderId="0" xfId="0" applyNumberFormat="1" applyFont="1" applyFill="1" applyAlignment="1">
      <alignment horizontal="left"/>
    </xf>
    <xf numFmtId="0" fontId="15" fillId="4" borderId="9" xfId="0" applyFont="1" applyFill="1" applyBorder="1" applyAlignment="1">
      <alignment horizontal="center" vertical="center"/>
    </xf>
    <xf numFmtId="0" fontId="7" fillId="4" borderId="10" xfId="0" applyFont="1" applyFill="1" applyBorder="1" applyAlignment="1">
      <alignment horizontal="center" vertical="center" wrapText="1"/>
    </xf>
    <xf numFmtId="0" fontId="16" fillId="2" borderId="10" xfId="0" applyFont="1" applyFill="1" applyBorder="1" applyAlignment="1">
      <alignment horizontal="center" vertical="center" wrapText="1"/>
    </xf>
    <xf numFmtId="0" fontId="17" fillId="2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16" fillId="2" borderId="11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vertical="center"/>
      <protection locked="0"/>
    </xf>
    <xf numFmtId="0" fontId="18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9" fillId="3" borderId="12" xfId="0" applyFont="1" applyFill="1" applyBorder="1" applyAlignment="1" applyProtection="1">
      <alignment horizontal="center" vertical="top"/>
      <protection locked="0"/>
    </xf>
    <xf numFmtId="0" fontId="9" fillId="3" borderId="13" xfId="0" applyFont="1" applyFill="1" applyBorder="1" applyAlignment="1" applyProtection="1">
      <alignment horizontal="center" vertical="top"/>
      <protection locked="0"/>
    </xf>
    <xf numFmtId="0" fontId="7" fillId="3" borderId="13" xfId="0" applyFont="1" applyFill="1" applyBorder="1" applyAlignment="1" applyProtection="1">
      <alignment horizontal="left" vertical="top"/>
      <protection locked="0"/>
    </xf>
    <xf numFmtId="0" fontId="18" fillId="3" borderId="13" xfId="0" applyFont="1" applyFill="1" applyBorder="1" applyAlignment="1" applyProtection="1">
      <alignment horizontal="left" vertical="top"/>
      <protection locked="0"/>
    </xf>
    <xf numFmtId="0" fontId="1" fillId="2" borderId="1" xfId="0" applyFont="1" applyFill="1" applyBorder="1" applyAlignment="1">
      <alignment horizontal="center"/>
    </xf>
    <xf numFmtId="179" fontId="17" fillId="2" borderId="10" xfId="0" applyNumberFormat="1" applyFont="1" applyFill="1" applyBorder="1" applyAlignment="1">
      <alignment horizontal="center" vertical="center" wrapText="1"/>
    </xf>
    <xf numFmtId="179" fontId="17" fillId="2" borderId="11" xfId="0" applyNumberFormat="1" applyFont="1" applyFill="1" applyBorder="1" applyAlignment="1">
      <alignment horizontal="center" vertical="center" wrapText="1"/>
    </xf>
    <xf numFmtId="0" fontId="19" fillId="3" borderId="14" xfId="0" applyFont="1" applyFill="1" applyBorder="1" applyAlignment="1" applyProtection="1">
      <alignment horizontal="center" vertical="top"/>
      <protection locked="0"/>
    </xf>
    <xf numFmtId="0" fontId="19" fillId="3" borderId="4" xfId="0" applyFont="1" applyFill="1" applyBorder="1" applyAlignment="1" applyProtection="1">
      <alignment horizontal="center" vertical="top"/>
      <protection locked="0"/>
    </xf>
    <xf numFmtId="0" fontId="1" fillId="2" borderId="15" xfId="0" applyFont="1" applyFill="1" applyBorder="1" applyAlignment="1">
      <alignment horizontal="center"/>
    </xf>
    <xf numFmtId="0" fontId="20" fillId="3" borderId="16" xfId="0" applyFont="1" applyFill="1" applyBorder="1" applyAlignment="1">
      <alignment vertic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21" fillId="2" borderId="10" xfId="0" applyFont="1" applyFill="1" applyBorder="1" applyAlignment="1">
      <alignment horizontal="center"/>
    </xf>
    <xf numFmtId="180" fontId="4" fillId="3" borderId="9" xfId="0" applyNumberFormat="1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15" fillId="3" borderId="18" xfId="0" applyFont="1" applyFill="1" applyBorder="1" applyAlignment="1">
      <alignment horizontal="center" vertical="center" wrapText="1"/>
    </xf>
    <xf numFmtId="180" fontId="4" fillId="3" borderId="19" xfId="0" applyNumberFormat="1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 quotePrefix="1">
      <alignment vertical="center"/>
    </xf>
    <xf numFmtId="0" fontId="7" fillId="3" borderId="0" xfId="0" applyFont="1" applyFill="1" applyAlignment="1" quotePrefix="1">
      <alignment horizontal="left"/>
    </xf>
    <xf numFmtId="0" fontId="7" fillId="3" borderId="6" xfId="0" applyFont="1" applyFill="1" applyBorder="1" applyAlignment="1" quotePrefix="1">
      <alignment horizontal="left"/>
    </xf>
    <xf numFmtId="0" fontId="7" fillId="3" borderId="7" xfId="0" applyFont="1" applyFill="1" applyBorder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03A4CB"/>
      <color rgb="002CD0B2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18</xdr:col>
      <xdr:colOff>9525</xdr:colOff>
      <xdr:row>2</xdr:row>
      <xdr:rowOff>10417</xdr:rowOff>
    </xdr:from>
    <xdr:to>
      <xdr:col>18</xdr:col>
      <xdr:colOff>1724025</xdr:colOff>
      <xdr:row>7</xdr:row>
      <xdr:rowOff>161925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184225" y="619760"/>
          <a:ext cx="1714500" cy="110426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S43"/>
  <sheetViews>
    <sheetView tabSelected="1" topLeftCell="E1" workbookViewId="0">
      <selection activeCell="A26" sqref="A26:S41"/>
    </sheetView>
  </sheetViews>
  <sheetFormatPr defaultColWidth="9" defaultRowHeight="15"/>
  <cols>
    <col min="2" max="2" width="3.14285714285714" style="1" customWidth="1"/>
    <col min="3" max="3" width="18" style="1" customWidth="1"/>
    <col min="4" max="4" width="27.4285714285714" customWidth="1"/>
    <col min="5" max="5" width="30.8571428571429" customWidth="1"/>
    <col min="6" max="6" width="22.2857142857143" customWidth="1"/>
    <col min="7" max="7" width="33.4285714285714" customWidth="1"/>
    <col min="8" max="8" width="21.4285714285714" customWidth="1"/>
    <col min="9" max="9" width="29.7142857142857" customWidth="1"/>
    <col min="10" max="10" width="25.7142857142857" customWidth="1"/>
    <col min="11" max="11" width="17.8571428571429" customWidth="1"/>
    <col min="12" max="12" width="16.7142857142857" customWidth="1"/>
    <col min="13" max="13" width="25.2857142857143" customWidth="1"/>
    <col min="14" max="14" width="29.4285714285714" customWidth="1"/>
    <col min="15" max="15" width="13.4285714285714" customWidth="1"/>
    <col min="16" max="16" width="25.8571428571429" customWidth="1"/>
    <col min="17" max="17" width="26.4285714285714" customWidth="1"/>
    <col min="18" max="18" width="16.5714285714286" customWidth="1"/>
    <col min="19" max="19" width="26.8571428571429" customWidth="1"/>
  </cols>
  <sheetData>
    <row r="1" ht="15.75" spans="1:19">
      <c r="A1" s="2"/>
      <c r="B1" s="3"/>
      <c r="C1" s="3"/>
      <c r="D1" s="4"/>
      <c r="E1" s="4"/>
      <c r="F1" s="4"/>
      <c r="G1" s="4"/>
      <c r="H1" s="4"/>
      <c r="I1" s="4"/>
      <c r="J1" s="4"/>
      <c r="K1" s="51"/>
      <c r="L1" s="51"/>
      <c r="M1" s="51"/>
      <c r="N1" s="51"/>
      <c r="O1" s="51"/>
      <c r="P1" s="51"/>
      <c r="Q1" s="51"/>
      <c r="R1" s="51"/>
      <c r="S1" s="56"/>
    </row>
    <row r="2" ht="32.25" spans="1:19">
      <c r="A2" s="2"/>
      <c r="B2" s="5"/>
      <c r="C2" s="6"/>
      <c r="D2" s="7" t="s">
        <v>0</v>
      </c>
      <c r="E2" s="7"/>
      <c r="F2" s="67" t="s">
        <v>1</v>
      </c>
      <c r="G2" s="8"/>
      <c r="H2" s="9"/>
      <c r="I2" s="8"/>
      <c r="J2" s="9"/>
      <c r="K2" s="9"/>
      <c r="L2" s="9"/>
      <c r="M2" s="9"/>
      <c r="N2" s="9"/>
      <c r="O2" s="9"/>
      <c r="P2" s="9"/>
      <c r="Q2" s="9"/>
      <c r="R2" s="9"/>
      <c r="S2" s="57"/>
    </row>
    <row r="3" spans="1:19">
      <c r="A3" s="2"/>
      <c r="B3" s="10"/>
      <c r="C3" s="11"/>
      <c r="D3" s="12" t="s">
        <v>2</v>
      </c>
      <c r="E3" s="12"/>
      <c r="F3" s="68" t="s">
        <v>3</v>
      </c>
      <c r="G3" s="12"/>
      <c r="H3" s="14"/>
      <c r="I3" s="12"/>
      <c r="J3" s="14"/>
      <c r="K3" s="14"/>
      <c r="L3" s="14"/>
      <c r="M3" s="14"/>
      <c r="N3" s="14"/>
      <c r="O3" s="14"/>
      <c r="P3" s="14"/>
      <c r="Q3" s="14"/>
      <c r="R3" s="14"/>
      <c r="S3" s="58"/>
    </row>
    <row r="4" spans="1:19">
      <c r="A4" s="2"/>
      <c r="B4" s="10"/>
      <c r="C4" s="11"/>
      <c r="D4" s="12" t="s">
        <v>4</v>
      </c>
      <c r="E4" s="12"/>
      <c r="F4" s="69" t="s">
        <v>5</v>
      </c>
      <c r="G4" s="16"/>
      <c r="H4" s="17"/>
      <c r="I4" s="16"/>
      <c r="J4" s="17"/>
      <c r="K4" s="17"/>
      <c r="L4" s="20"/>
      <c r="M4" s="20"/>
      <c r="N4" s="20"/>
      <c r="O4" s="20"/>
      <c r="P4" s="20"/>
      <c r="Q4" s="20"/>
      <c r="R4" s="20"/>
      <c r="S4" s="59"/>
    </row>
    <row r="5" spans="1:19">
      <c r="A5" s="2"/>
      <c r="B5" s="10"/>
      <c r="C5" s="11"/>
      <c r="D5" s="12" t="s">
        <v>6</v>
      </c>
      <c r="E5" s="12"/>
      <c r="F5" s="70" t="s">
        <v>7</v>
      </c>
      <c r="G5" s="19"/>
      <c r="H5" s="20"/>
      <c r="I5" s="19"/>
      <c r="J5" s="20"/>
      <c r="K5" s="20"/>
      <c r="L5" s="20"/>
      <c r="M5" s="20"/>
      <c r="N5" s="20"/>
      <c r="O5" s="20"/>
      <c r="P5" s="20"/>
      <c r="Q5" s="20"/>
      <c r="R5" s="20"/>
      <c r="S5" s="59"/>
    </row>
    <row r="6" spans="1:19">
      <c r="A6" s="2"/>
      <c r="B6" s="21"/>
      <c r="C6" s="22"/>
      <c r="D6" s="23"/>
      <c r="E6" s="23"/>
      <c r="F6" s="24"/>
      <c r="G6" s="19"/>
      <c r="H6" s="20"/>
      <c r="I6" s="19"/>
      <c r="J6" s="20"/>
      <c r="K6" s="20"/>
      <c r="L6" s="20"/>
      <c r="M6" s="20"/>
      <c r="N6" s="20"/>
      <c r="O6" s="20"/>
      <c r="P6" s="20"/>
      <c r="Q6" s="20"/>
      <c r="R6" s="20"/>
      <c r="S6" s="59"/>
    </row>
    <row r="7" spans="1:19">
      <c r="A7" s="2"/>
      <c r="B7" s="25"/>
      <c r="C7" s="26"/>
      <c r="D7" s="27"/>
      <c r="E7" s="27"/>
      <c r="F7" s="28"/>
      <c r="G7" s="27"/>
      <c r="H7" s="29"/>
      <c r="I7" s="27"/>
      <c r="J7" s="29"/>
      <c r="K7" s="29"/>
      <c r="L7" s="29"/>
      <c r="M7" s="29"/>
      <c r="N7" s="29"/>
      <c r="O7" s="29"/>
      <c r="P7" s="29"/>
      <c r="Q7" s="29"/>
      <c r="R7" s="29"/>
      <c r="S7" s="59"/>
    </row>
    <row r="8" ht="15.75" spans="1:19">
      <c r="A8" s="2"/>
      <c r="B8" s="30"/>
      <c r="C8" s="31"/>
      <c r="D8" s="32"/>
      <c r="E8" s="32"/>
      <c r="F8" s="33"/>
      <c r="G8" s="27"/>
      <c r="H8" s="29"/>
      <c r="I8" s="27"/>
      <c r="J8" s="29"/>
      <c r="K8" s="29"/>
      <c r="L8" s="29"/>
      <c r="M8" s="29"/>
      <c r="N8" s="29"/>
      <c r="O8" s="29"/>
      <c r="P8" s="29"/>
      <c r="Q8" s="29"/>
      <c r="R8" s="29"/>
      <c r="S8" s="59"/>
    </row>
    <row r="9" ht="15.75" spans="1:19">
      <c r="A9" s="2"/>
      <c r="B9" s="34" t="s">
        <v>8</v>
      </c>
      <c r="C9" s="34" t="s">
        <v>9</v>
      </c>
      <c r="D9" s="34" t="s">
        <v>10</v>
      </c>
      <c r="E9" s="34" t="s">
        <v>11</v>
      </c>
      <c r="F9" s="34" t="s">
        <v>12</v>
      </c>
      <c r="G9" s="34" t="s">
        <v>13</v>
      </c>
      <c r="H9" s="34" t="s">
        <v>14</v>
      </c>
      <c r="I9" s="34" t="s">
        <v>15</v>
      </c>
      <c r="J9" s="34" t="s">
        <v>16</v>
      </c>
      <c r="K9" s="34" t="s">
        <v>17</v>
      </c>
      <c r="L9" s="34" t="s">
        <v>18</v>
      </c>
      <c r="M9" s="34" t="s">
        <v>19</v>
      </c>
      <c r="N9" s="34" t="s">
        <v>20</v>
      </c>
      <c r="O9" s="34" t="s">
        <v>21</v>
      </c>
      <c r="P9" s="34" t="s">
        <v>22</v>
      </c>
      <c r="Q9" s="34" t="s">
        <v>23</v>
      </c>
      <c r="R9" s="34" t="s">
        <v>24</v>
      </c>
      <c r="S9" s="34" t="s">
        <v>25</v>
      </c>
    </row>
    <row r="10" ht="24" spans="1:19">
      <c r="A10" s="2"/>
      <c r="B10" s="35">
        <f t="shared" ref="B10:B41" si="0">ROW(B10)-ROW($B$9)</f>
        <v>1</v>
      </c>
      <c r="C10" s="36"/>
      <c r="D10" s="37" t="s">
        <v>26</v>
      </c>
      <c r="E10" s="37" t="s">
        <v>27</v>
      </c>
      <c r="F10" s="37" t="s">
        <v>28</v>
      </c>
      <c r="G10" s="37" t="s">
        <v>29</v>
      </c>
      <c r="H10" s="37" t="s">
        <v>30</v>
      </c>
      <c r="I10" s="37"/>
      <c r="J10" s="37"/>
      <c r="K10" s="37" t="s">
        <v>31</v>
      </c>
      <c r="L10" s="37">
        <v>8</v>
      </c>
      <c r="M10" s="37">
        <f t="shared" ref="M10:M41" si="1">L10*5</f>
        <v>40</v>
      </c>
      <c r="N10" s="37"/>
      <c r="O10" s="37"/>
      <c r="P10" s="52"/>
      <c r="Q10" s="52">
        <f t="shared" ref="Q10:Q41" si="2">P10*N10</f>
        <v>0</v>
      </c>
      <c r="R10" s="37"/>
      <c r="S10" s="60"/>
    </row>
    <row r="11" spans="1:19">
      <c r="A11" s="2"/>
      <c r="B11" s="38">
        <f t="shared" si="0"/>
        <v>2</v>
      </c>
      <c r="C11" s="39"/>
      <c r="D11" s="40" t="s">
        <v>32</v>
      </c>
      <c r="E11" s="40" t="s">
        <v>33</v>
      </c>
      <c r="F11" s="40" t="s">
        <v>28</v>
      </c>
      <c r="G11" s="40" t="s">
        <v>34</v>
      </c>
      <c r="H11" s="40" t="s">
        <v>35</v>
      </c>
      <c r="I11" s="40"/>
      <c r="J11" s="40" t="s">
        <v>36</v>
      </c>
      <c r="K11" s="40" t="s">
        <v>37</v>
      </c>
      <c r="L11" s="40">
        <v>2</v>
      </c>
      <c r="M11" s="40">
        <f t="shared" si="1"/>
        <v>10</v>
      </c>
      <c r="N11" s="40"/>
      <c r="O11" s="40"/>
      <c r="P11" s="53"/>
      <c r="Q11" s="53">
        <f t="shared" si="2"/>
        <v>0</v>
      </c>
      <c r="R11" s="40"/>
      <c r="S11" s="40"/>
    </row>
    <row r="12" ht="24" spans="1:19">
      <c r="A12" s="2"/>
      <c r="B12" s="35">
        <f t="shared" si="0"/>
        <v>3</v>
      </c>
      <c r="C12" s="36" t="s">
        <v>38</v>
      </c>
      <c r="D12" s="37" t="s">
        <v>39</v>
      </c>
      <c r="E12" s="37" t="s">
        <v>40</v>
      </c>
      <c r="F12" s="37" t="s">
        <v>28</v>
      </c>
      <c r="G12" s="37"/>
      <c r="H12" s="37"/>
      <c r="I12" s="37"/>
      <c r="J12" s="37"/>
      <c r="K12" s="37" t="s">
        <v>41</v>
      </c>
      <c r="L12" s="37">
        <v>1</v>
      </c>
      <c r="M12" s="37">
        <f t="shared" si="1"/>
        <v>5</v>
      </c>
      <c r="N12" s="37"/>
      <c r="O12" s="37"/>
      <c r="P12" s="52"/>
      <c r="Q12" s="52">
        <f t="shared" si="2"/>
        <v>0</v>
      </c>
      <c r="R12" s="37"/>
      <c r="S12" s="60"/>
    </row>
    <row r="13" spans="1:19">
      <c r="A13" s="2"/>
      <c r="B13" s="38">
        <f t="shared" si="0"/>
        <v>4</v>
      </c>
      <c r="C13" s="39"/>
      <c r="D13" s="40" t="s">
        <v>42</v>
      </c>
      <c r="E13" s="40" t="s">
        <v>43</v>
      </c>
      <c r="F13" s="40" t="s">
        <v>28</v>
      </c>
      <c r="G13" s="40" t="s">
        <v>44</v>
      </c>
      <c r="H13" s="40" t="s">
        <v>30</v>
      </c>
      <c r="I13" s="40"/>
      <c r="J13" s="40" t="s">
        <v>45</v>
      </c>
      <c r="K13" s="40" t="s">
        <v>46</v>
      </c>
      <c r="L13" s="40">
        <v>2</v>
      </c>
      <c r="M13" s="40">
        <f t="shared" si="1"/>
        <v>10</v>
      </c>
      <c r="N13" s="40"/>
      <c r="O13" s="40"/>
      <c r="P13" s="53"/>
      <c r="Q13" s="53">
        <f t="shared" si="2"/>
        <v>0</v>
      </c>
      <c r="R13" s="40"/>
      <c r="S13" s="40"/>
    </row>
    <row r="14" spans="1:19">
      <c r="A14" s="2"/>
      <c r="B14" s="35">
        <f t="shared" si="0"/>
        <v>5</v>
      </c>
      <c r="C14" s="36" t="s">
        <v>38</v>
      </c>
      <c r="D14" s="37" t="s">
        <v>47</v>
      </c>
      <c r="E14" s="37" t="s">
        <v>48</v>
      </c>
      <c r="F14" s="37" t="s">
        <v>28</v>
      </c>
      <c r="G14" s="37" t="s">
        <v>49</v>
      </c>
      <c r="H14" s="37" t="s">
        <v>30</v>
      </c>
      <c r="I14" s="37"/>
      <c r="J14" s="37" t="s">
        <v>50</v>
      </c>
      <c r="K14" s="37" t="s">
        <v>51</v>
      </c>
      <c r="L14" s="37">
        <v>2</v>
      </c>
      <c r="M14" s="37">
        <f t="shared" si="1"/>
        <v>10</v>
      </c>
      <c r="N14" s="37"/>
      <c r="O14" s="37"/>
      <c r="P14" s="52"/>
      <c r="Q14" s="52">
        <f t="shared" si="2"/>
        <v>0</v>
      </c>
      <c r="R14" s="37"/>
      <c r="S14" s="60"/>
    </row>
    <row r="15" ht="36" spans="1:19">
      <c r="A15" s="2"/>
      <c r="B15" s="38">
        <f t="shared" si="0"/>
        <v>6</v>
      </c>
      <c r="C15" s="39" t="s">
        <v>38</v>
      </c>
      <c r="D15" s="40" t="s">
        <v>52</v>
      </c>
      <c r="E15" s="40" t="s">
        <v>53</v>
      </c>
      <c r="F15" s="40" t="s">
        <v>28</v>
      </c>
      <c r="G15" s="40"/>
      <c r="H15" s="40" t="s">
        <v>54</v>
      </c>
      <c r="I15" s="40"/>
      <c r="J15" s="40"/>
      <c r="K15" s="40" t="s">
        <v>55</v>
      </c>
      <c r="L15" s="40">
        <v>1</v>
      </c>
      <c r="M15" s="40">
        <f t="shared" si="1"/>
        <v>5</v>
      </c>
      <c r="N15" s="40"/>
      <c r="O15" s="40"/>
      <c r="P15" s="53"/>
      <c r="Q15" s="53">
        <f t="shared" si="2"/>
        <v>0</v>
      </c>
      <c r="R15" s="40"/>
      <c r="S15" s="40"/>
    </row>
    <row r="16" spans="1:19">
      <c r="A16" s="2"/>
      <c r="B16" s="35">
        <f t="shared" si="0"/>
        <v>7</v>
      </c>
      <c r="C16" s="36" t="s">
        <v>56</v>
      </c>
      <c r="D16" s="37" t="s">
        <v>57</v>
      </c>
      <c r="E16" s="37" t="s">
        <v>58</v>
      </c>
      <c r="F16" s="37" t="s">
        <v>59</v>
      </c>
      <c r="G16" s="37" t="s">
        <v>60</v>
      </c>
      <c r="H16" s="37" t="s">
        <v>61</v>
      </c>
      <c r="I16" s="37"/>
      <c r="J16" s="37" t="s">
        <v>62</v>
      </c>
      <c r="K16" s="37" t="s">
        <v>60</v>
      </c>
      <c r="L16" s="37">
        <v>1</v>
      </c>
      <c r="M16" s="37">
        <f t="shared" si="1"/>
        <v>5</v>
      </c>
      <c r="N16" s="37"/>
      <c r="O16" s="37"/>
      <c r="P16" s="52"/>
      <c r="Q16" s="52">
        <f t="shared" si="2"/>
        <v>0</v>
      </c>
      <c r="R16" s="37"/>
      <c r="S16" s="60"/>
    </row>
    <row r="17" ht="24" spans="1:19">
      <c r="A17" s="2"/>
      <c r="B17" s="38">
        <f t="shared" si="0"/>
        <v>8</v>
      </c>
      <c r="C17" s="39" t="s">
        <v>56</v>
      </c>
      <c r="D17" s="40" t="s">
        <v>63</v>
      </c>
      <c r="E17" s="40"/>
      <c r="F17" s="40" t="s">
        <v>64</v>
      </c>
      <c r="G17" s="40"/>
      <c r="H17" s="40" t="s">
        <v>65</v>
      </c>
      <c r="I17" s="40"/>
      <c r="J17" s="40"/>
      <c r="K17" s="40" t="s">
        <v>66</v>
      </c>
      <c r="L17" s="40">
        <v>1</v>
      </c>
      <c r="M17" s="40">
        <f t="shared" si="1"/>
        <v>5</v>
      </c>
      <c r="N17" s="40"/>
      <c r="O17" s="40"/>
      <c r="P17" s="53"/>
      <c r="Q17" s="53">
        <f t="shared" si="2"/>
        <v>0</v>
      </c>
      <c r="R17" s="40"/>
      <c r="S17" s="40"/>
    </row>
    <row r="18" spans="1:19">
      <c r="A18" s="2"/>
      <c r="B18" s="35">
        <f t="shared" si="0"/>
        <v>9</v>
      </c>
      <c r="C18" s="36" t="s">
        <v>67</v>
      </c>
      <c r="D18" s="37" t="s">
        <v>68</v>
      </c>
      <c r="E18" s="37" t="s">
        <v>69</v>
      </c>
      <c r="F18" s="37" t="s">
        <v>70</v>
      </c>
      <c r="G18" s="37" t="s">
        <v>71</v>
      </c>
      <c r="H18" s="37" t="s">
        <v>72</v>
      </c>
      <c r="I18" s="37"/>
      <c r="J18" s="37" t="s">
        <v>73</v>
      </c>
      <c r="K18" s="37" t="s">
        <v>71</v>
      </c>
      <c r="L18" s="37">
        <v>1</v>
      </c>
      <c r="M18" s="37">
        <f t="shared" si="1"/>
        <v>5</v>
      </c>
      <c r="N18" s="37"/>
      <c r="O18" s="37"/>
      <c r="P18" s="52"/>
      <c r="Q18" s="52">
        <f t="shared" si="2"/>
        <v>0</v>
      </c>
      <c r="R18" s="37"/>
      <c r="S18" s="60"/>
    </row>
    <row r="19" spans="1:19">
      <c r="A19" s="2"/>
      <c r="B19" s="38">
        <f t="shared" si="0"/>
        <v>10</v>
      </c>
      <c r="C19" s="39" t="s">
        <v>74</v>
      </c>
      <c r="D19" s="40" t="s">
        <v>75</v>
      </c>
      <c r="E19" s="40" t="s">
        <v>76</v>
      </c>
      <c r="F19" s="40" t="s">
        <v>77</v>
      </c>
      <c r="G19" s="40" t="s">
        <v>78</v>
      </c>
      <c r="H19" s="40" t="s">
        <v>79</v>
      </c>
      <c r="I19" s="40"/>
      <c r="J19" s="40" t="s">
        <v>80</v>
      </c>
      <c r="K19" s="40" t="s">
        <v>81</v>
      </c>
      <c r="L19" s="40">
        <v>1</v>
      </c>
      <c r="M19" s="40">
        <f t="shared" si="1"/>
        <v>5</v>
      </c>
      <c r="N19" s="40"/>
      <c r="O19" s="40"/>
      <c r="P19" s="53"/>
      <c r="Q19" s="53">
        <f t="shared" si="2"/>
        <v>0</v>
      </c>
      <c r="R19" s="40"/>
      <c r="S19" s="40"/>
    </row>
    <row r="20" ht="24" spans="1:19">
      <c r="A20" s="2"/>
      <c r="B20" s="35">
        <f t="shared" si="0"/>
        <v>11</v>
      </c>
      <c r="C20" s="36" t="s">
        <v>82</v>
      </c>
      <c r="D20" s="37" t="s">
        <v>83</v>
      </c>
      <c r="E20" s="37" t="s">
        <v>84</v>
      </c>
      <c r="F20" s="37" t="s">
        <v>85</v>
      </c>
      <c r="G20" s="37" t="s">
        <v>86</v>
      </c>
      <c r="H20" s="37" t="s">
        <v>87</v>
      </c>
      <c r="I20" s="37"/>
      <c r="J20" s="37"/>
      <c r="K20" s="37" t="s">
        <v>86</v>
      </c>
      <c r="L20" s="37">
        <v>2</v>
      </c>
      <c r="M20" s="37">
        <f t="shared" si="1"/>
        <v>10</v>
      </c>
      <c r="N20" s="37"/>
      <c r="O20" s="37"/>
      <c r="P20" s="52"/>
      <c r="Q20" s="52">
        <f t="shared" si="2"/>
        <v>0</v>
      </c>
      <c r="R20" s="37"/>
      <c r="S20" s="60"/>
    </row>
    <row r="21" ht="48" spans="1:19">
      <c r="A21" s="2"/>
      <c r="B21" s="38">
        <f t="shared" si="0"/>
        <v>12</v>
      </c>
      <c r="C21" s="39" t="s">
        <v>88</v>
      </c>
      <c r="D21" s="40" t="s">
        <v>89</v>
      </c>
      <c r="E21" s="40" t="s">
        <v>90</v>
      </c>
      <c r="F21" s="40" t="s">
        <v>91</v>
      </c>
      <c r="G21" s="40"/>
      <c r="H21" s="40"/>
      <c r="I21" s="40"/>
      <c r="J21" s="40"/>
      <c r="K21" s="40" t="s">
        <v>91</v>
      </c>
      <c r="L21" s="40">
        <v>2</v>
      </c>
      <c r="M21" s="40">
        <f t="shared" si="1"/>
        <v>10</v>
      </c>
      <c r="N21" s="40"/>
      <c r="O21" s="40"/>
      <c r="P21" s="53"/>
      <c r="Q21" s="53">
        <f t="shared" si="2"/>
        <v>0</v>
      </c>
      <c r="R21" s="40"/>
      <c r="S21" s="40"/>
    </row>
    <row r="22" ht="36" spans="1:19">
      <c r="A22" s="2"/>
      <c r="B22" s="35">
        <f t="shared" si="0"/>
        <v>13</v>
      </c>
      <c r="C22" s="36" t="s">
        <v>92</v>
      </c>
      <c r="D22" s="37" t="s">
        <v>93</v>
      </c>
      <c r="E22" s="37" t="s">
        <v>94</v>
      </c>
      <c r="F22" s="37" t="s">
        <v>95</v>
      </c>
      <c r="G22" s="37"/>
      <c r="H22" s="37"/>
      <c r="I22" s="37"/>
      <c r="J22" s="37"/>
      <c r="K22" s="37" t="s">
        <v>95</v>
      </c>
      <c r="L22" s="37">
        <v>1</v>
      </c>
      <c r="M22" s="37">
        <f t="shared" si="1"/>
        <v>5</v>
      </c>
      <c r="N22" s="37"/>
      <c r="O22" s="37"/>
      <c r="P22" s="52"/>
      <c r="Q22" s="52">
        <f t="shared" si="2"/>
        <v>0</v>
      </c>
      <c r="R22" s="37"/>
      <c r="S22" s="60"/>
    </row>
    <row r="23" ht="24" spans="1:19">
      <c r="A23" s="2"/>
      <c r="B23" s="38">
        <f t="shared" si="0"/>
        <v>14</v>
      </c>
      <c r="C23" s="39" t="s">
        <v>96</v>
      </c>
      <c r="D23" s="40" t="s">
        <v>97</v>
      </c>
      <c r="E23" s="40" t="s">
        <v>98</v>
      </c>
      <c r="F23" s="40" t="s">
        <v>99</v>
      </c>
      <c r="G23" s="40" t="s">
        <v>100</v>
      </c>
      <c r="H23" s="40" t="s">
        <v>101</v>
      </c>
      <c r="I23" s="40"/>
      <c r="J23" s="40" t="s">
        <v>102</v>
      </c>
      <c r="K23" s="40" t="s">
        <v>100</v>
      </c>
      <c r="L23" s="40">
        <v>2</v>
      </c>
      <c r="M23" s="40">
        <f t="shared" si="1"/>
        <v>10</v>
      </c>
      <c r="N23" s="40"/>
      <c r="O23" s="40"/>
      <c r="P23" s="53"/>
      <c r="Q23" s="53">
        <f t="shared" si="2"/>
        <v>0</v>
      </c>
      <c r="R23" s="40"/>
      <c r="S23" s="40"/>
    </row>
    <row r="24" spans="1:19">
      <c r="A24" s="2"/>
      <c r="B24" s="35">
        <f t="shared" si="0"/>
        <v>15</v>
      </c>
      <c r="C24" s="36" t="s">
        <v>103</v>
      </c>
      <c r="D24" s="37" t="s">
        <v>104</v>
      </c>
      <c r="E24" s="37" t="s">
        <v>105</v>
      </c>
      <c r="F24" s="37" t="s">
        <v>106</v>
      </c>
      <c r="G24" s="37" t="s">
        <v>106</v>
      </c>
      <c r="H24" s="37"/>
      <c r="I24" s="37"/>
      <c r="J24" s="37"/>
      <c r="K24" s="37" t="s">
        <v>107</v>
      </c>
      <c r="L24" s="37">
        <v>5</v>
      </c>
      <c r="M24" s="37">
        <f t="shared" si="1"/>
        <v>25</v>
      </c>
      <c r="N24" s="37"/>
      <c r="O24" s="37"/>
      <c r="P24" s="52"/>
      <c r="Q24" s="52">
        <f t="shared" si="2"/>
        <v>0</v>
      </c>
      <c r="R24" s="37"/>
      <c r="S24" s="60"/>
    </row>
    <row r="25" ht="48" spans="1:19">
      <c r="A25" s="2"/>
      <c r="B25" s="38">
        <f t="shared" si="0"/>
        <v>16</v>
      </c>
      <c r="C25" s="39" t="s">
        <v>108</v>
      </c>
      <c r="D25" s="40" t="s">
        <v>109</v>
      </c>
      <c r="E25" s="40" t="s">
        <v>110</v>
      </c>
      <c r="F25" s="40" t="s">
        <v>111</v>
      </c>
      <c r="G25" s="40"/>
      <c r="H25" s="40"/>
      <c r="I25" s="40"/>
      <c r="J25" s="40"/>
      <c r="K25" s="40" t="s">
        <v>111</v>
      </c>
      <c r="L25" s="40">
        <v>1</v>
      </c>
      <c r="M25" s="40">
        <f t="shared" si="1"/>
        <v>5</v>
      </c>
      <c r="N25" s="40"/>
      <c r="O25" s="40"/>
      <c r="P25" s="53"/>
      <c r="Q25" s="53">
        <f t="shared" si="2"/>
        <v>0</v>
      </c>
      <c r="R25" s="40"/>
      <c r="S25" s="40"/>
    </row>
    <row r="26" ht="24" spans="1:19">
      <c r="A26" s="2"/>
      <c r="B26" s="35">
        <f t="shared" si="0"/>
        <v>17</v>
      </c>
      <c r="C26" s="36" t="s">
        <v>108</v>
      </c>
      <c r="D26" s="37" t="s">
        <v>112</v>
      </c>
      <c r="E26" s="37" t="s">
        <v>113</v>
      </c>
      <c r="F26" s="37" t="s">
        <v>114</v>
      </c>
      <c r="G26" s="37"/>
      <c r="H26" s="37" t="s">
        <v>115</v>
      </c>
      <c r="I26" s="37"/>
      <c r="J26" s="37"/>
      <c r="K26" s="37" t="s">
        <v>114</v>
      </c>
      <c r="L26" s="37">
        <v>1</v>
      </c>
      <c r="M26" s="37">
        <f t="shared" si="1"/>
        <v>5</v>
      </c>
      <c r="N26" s="37"/>
      <c r="O26" s="37"/>
      <c r="P26" s="52"/>
      <c r="Q26" s="52">
        <f t="shared" si="2"/>
        <v>0</v>
      </c>
      <c r="R26" s="37"/>
      <c r="S26" s="60"/>
    </row>
    <row r="27" ht="24" spans="1:19">
      <c r="A27" s="2"/>
      <c r="B27" s="38">
        <f t="shared" si="0"/>
        <v>18</v>
      </c>
      <c r="C27" s="39" t="s">
        <v>116</v>
      </c>
      <c r="D27" s="40" t="s">
        <v>117</v>
      </c>
      <c r="E27" s="40" t="s">
        <v>118</v>
      </c>
      <c r="F27" s="40" t="s">
        <v>119</v>
      </c>
      <c r="G27" s="40" t="s">
        <v>119</v>
      </c>
      <c r="H27" s="40" t="s">
        <v>120</v>
      </c>
      <c r="I27" s="40"/>
      <c r="J27" s="40" t="s">
        <v>121</v>
      </c>
      <c r="K27" s="40" t="s">
        <v>119</v>
      </c>
      <c r="L27" s="40">
        <v>2</v>
      </c>
      <c r="M27" s="40">
        <f t="shared" si="1"/>
        <v>10</v>
      </c>
      <c r="N27" s="40"/>
      <c r="O27" s="40"/>
      <c r="P27" s="53"/>
      <c r="Q27" s="53">
        <f t="shared" si="2"/>
        <v>0</v>
      </c>
      <c r="R27" s="40"/>
      <c r="S27" s="40"/>
    </row>
    <row r="28" ht="48" spans="1:19">
      <c r="A28" s="2"/>
      <c r="B28" s="35">
        <f t="shared" si="0"/>
        <v>19</v>
      </c>
      <c r="C28" s="36" t="s">
        <v>122</v>
      </c>
      <c r="D28" s="37" t="s">
        <v>123</v>
      </c>
      <c r="E28" s="37" t="s">
        <v>124</v>
      </c>
      <c r="F28" s="37" t="s">
        <v>125</v>
      </c>
      <c r="G28" s="37"/>
      <c r="H28" s="37" t="s">
        <v>126</v>
      </c>
      <c r="I28" s="37"/>
      <c r="J28" s="37"/>
      <c r="K28" s="37" t="s">
        <v>127</v>
      </c>
      <c r="L28" s="37">
        <v>1</v>
      </c>
      <c r="M28" s="37">
        <f t="shared" si="1"/>
        <v>5</v>
      </c>
      <c r="N28" s="37"/>
      <c r="O28" s="37"/>
      <c r="P28" s="52"/>
      <c r="Q28" s="52">
        <f t="shared" si="2"/>
        <v>0</v>
      </c>
      <c r="R28" s="37"/>
      <c r="S28" s="60"/>
    </row>
    <row r="29" spans="1:19">
      <c r="A29" s="2"/>
      <c r="B29" s="38">
        <f t="shared" si="0"/>
        <v>20</v>
      </c>
      <c r="C29" s="39" t="s">
        <v>128</v>
      </c>
      <c r="D29" s="40" t="s">
        <v>129</v>
      </c>
      <c r="E29" s="40" t="s">
        <v>130</v>
      </c>
      <c r="F29" s="40" t="s">
        <v>131</v>
      </c>
      <c r="G29" s="40"/>
      <c r="H29" s="40"/>
      <c r="I29" s="40"/>
      <c r="J29" s="40"/>
      <c r="K29" s="40" t="s">
        <v>128</v>
      </c>
      <c r="L29" s="40">
        <v>3</v>
      </c>
      <c r="M29" s="40">
        <f t="shared" si="1"/>
        <v>15</v>
      </c>
      <c r="N29" s="40"/>
      <c r="O29" s="40"/>
      <c r="P29" s="53"/>
      <c r="Q29" s="53">
        <f t="shared" si="2"/>
        <v>0</v>
      </c>
      <c r="R29" s="40"/>
      <c r="S29" s="40"/>
    </row>
    <row r="30" ht="36" spans="1:19">
      <c r="A30" s="2"/>
      <c r="B30" s="35">
        <f t="shared" si="0"/>
        <v>21</v>
      </c>
      <c r="C30" s="36" t="s">
        <v>132</v>
      </c>
      <c r="D30" s="37" t="s">
        <v>133</v>
      </c>
      <c r="E30" s="37" t="s">
        <v>134</v>
      </c>
      <c r="F30" s="37" t="s">
        <v>135</v>
      </c>
      <c r="G30" s="37"/>
      <c r="H30" s="37" t="s">
        <v>136</v>
      </c>
      <c r="I30" s="37"/>
      <c r="J30" s="37"/>
      <c r="K30" s="37" t="s">
        <v>137</v>
      </c>
      <c r="L30" s="37">
        <v>2</v>
      </c>
      <c r="M30" s="37">
        <f t="shared" si="1"/>
        <v>10</v>
      </c>
      <c r="N30" s="37"/>
      <c r="O30" s="37"/>
      <c r="P30" s="52"/>
      <c r="Q30" s="52">
        <f t="shared" si="2"/>
        <v>0</v>
      </c>
      <c r="R30" s="37"/>
      <c r="S30" s="60"/>
    </row>
    <row r="31" spans="1:19">
      <c r="A31" s="2"/>
      <c r="B31" s="38">
        <f t="shared" si="0"/>
        <v>22</v>
      </c>
      <c r="C31" s="39" t="s">
        <v>132</v>
      </c>
      <c r="D31" s="40" t="s">
        <v>138</v>
      </c>
      <c r="E31" s="40" t="s">
        <v>139</v>
      </c>
      <c r="F31" s="40" t="s">
        <v>135</v>
      </c>
      <c r="G31" s="40" t="s">
        <v>140</v>
      </c>
      <c r="H31" s="40" t="s">
        <v>30</v>
      </c>
      <c r="I31" s="40"/>
      <c r="J31" s="40" t="s">
        <v>141</v>
      </c>
      <c r="K31" s="40" t="s">
        <v>142</v>
      </c>
      <c r="L31" s="40">
        <v>1</v>
      </c>
      <c r="M31" s="40">
        <f t="shared" si="1"/>
        <v>5</v>
      </c>
      <c r="N31" s="40"/>
      <c r="O31" s="40"/>
      <c r="P31" s="53"/>
      <c r="Q31" s="53">
        <f t="shared" si="2"/>
        <v>0</v>
      </c>
      <c r="R31" s="40"/>
      <c r="S31" s="40"/>
    </row>
    <row r="32" ht="24" spans="1:19">
      <c r="A32" s="2"/>
      <c r="B32" s="35">
        <f t="shared" si="0"/>
        <v>23</v>
      </c>
      <c r="C32" s="36" t="s">
        <v>132</v>
      </c>
      <c r="D32" s="37" t="s">
        <v>143</v>
      </c>
      <c r="E32" s="37" t="s">
        <v>144</v>
      </c>
      <c r="F32" s="37" t="s">
        <v>135</v>
      </c>
      <c r="G32" s="37" t="s">
        <v>145</v>
      </c>
      <c r="H32" s="37" t="s">
        <v>30</v>
      </c>
      <c r="I32" s="37"/>
      <c r="J32" s="37" t="s">
        <v>146</v>
      </c>
      <c r="K32" s="37" t="s">
        <v>147</v>
      </c>
      <c r="L32" s="37">
        <v>8</v>
      </c>
      <c r="M32" s="37">
        <f t="shared" si="1"/>
        <v>40</v>
      </c>
      <c r="N32" s="37"/>
      <c r="O32" s="37"/>
      <c r="P32" s="52"/>
      <c r="Q32" s="52">
        <f t="shared" si="2"/>
        <v>0</v>
      </c>
      <c r="R32" s="37"/>
      <c r="S32" s="60"/>
    </row>
    <row r="33" ht="36" spans="1:19">
      <c r="A33" s="2"/>
      <c r="B33" s="38">
        <f t="shared" si="0"/>
        <v>24</v>
      </c>
      <c r="C33" s="39"/>
      <c r="D33" s="40" t="s">
        <v>148</v>
      </c>
      <c r="E33" s="40" t="s">
        <v>149</v>
      </c>
      <c r="F33" s="40" t="s">
        <v>135</v>
      </c>
      <c r="G33" s="40"/>
      <c r="H33" s="40"/>
      <c r="I33" s="40"/>
      <c r="J33" s="40"/>
      <c r="K33" s="40" t="s">
        <v>150</v>
      </c>
      <c r="L33" s="40">
        <v>1</v>
      </c>
      <c r="M33" s="40">
        <f t="shared" si="1"/>
        <v>5</v>
      </c>
      <c r="N33" s="40"/>
      <c r="O33" s="40"/>
      <c r="P33" s="53"/>
      <c r="Q33" s="53">
        <f t="shared" si="2"/>
        <v>0</v>
      </c>
      <c r="R33" s="40"/>
      <c r="S33" s="40"/>
    </row>
    <row r="34" ht="36" spans="1:19">
      <c r="A34" s="2"/>
      <c r="B34" s="35">
        <f t="shared" si="0"/>
        <v>25</v>
      </c>
      <c r="C34" s="36" t="s">
        <v>132</v>
      </c>
      <c r="D34" s="37" t="s">
        <v>151</v>
      </c>
      <c r="E34" s="37" t="s">
        <v>152</v>
      </c>
      <c r="F34" s="37" t="s">
        <v>135</v>
      </c>
      <c r="G34" s="37"/>
      <c r="H34" s="37" t="s">
        <v>136</v>
      </c>
      <c r="I34" s="37"/>
      <c r="J34" s="37"/>
      <c r="K34" s="37" t="s">
        <v>153</v>
      </c>
      <c r="L34" s="37">
        <v>1</v>
      </c>
      <c r="M34" s="37">
        <f t="shared" si="1"/>
        <v>5</v>
      </c>
      <c r="N34" s="37"/>
      <c r="O34" s="37"/>
      <c r="P34" s="52"/>
      <c r="Q34" s="52">
        <f t="shared" si="2"/>
        <v>0</v>
      </c>
      <c r="R34" s="37"/>
      <c r="S34" s="60"/>
    </row>
    <row r="35" spans="1:19">
      <c r="A35" s="2"/>
      <c r="B35" s="38">
        <f t="shared" si="0"/>
        <v>26</v>
      </c>
      <c r="C35" s="39" t="s">
        <v>132</v>
      </c>
      <c r="D35" s="40" t="s">
        <v>154</v>
      </c>
      <c r="E35" s="40" t="s">
        <v>155</v>
      </c>
      <c r="F35" s="40" t="s">
        <v>135</v>
      </c>
      <c r="G35" s="40" t="s">
        <v>156</v>
      </c>
      <c r="H35" s="40" t="s">
        <v>30</v>
      </c>
      <c r="I35" s="40"/>
      <c r="J35" s="40" t="s">
        <v>157</v>
      </c>
      <c r="K35" s="40" t="s">
        <v>158</v>
      </c>
      <c r="L35" s="40">
        <v>5</v>
      </c>
      <c r="M35" s="40">
        <f t="shared" si="1"/>
        <v>25</v>
      </c>
      <c r="N35" s="40"/>
      <c r="O35" s="40"/>
      <c r="P35" s="53"/>
      <c r="Q35" s="53">
        <f t="shared" si="2"/>
        <v>0</v>
      </c>
      <c r="R35" s="40"/>
      <c r="S35" s="40"/>
    </row>
    <row r="36" spans="1:19">
      <c r="A36" s="2"/>
      <c r="B36" s="35">
        <f t="shared" si="0"/>
        <v>27</v>
      </c>
      <c r="C36" s="36" t="s">
        <v>159</v>
      </c>
      <c r="D36" s="37" t="s">
        <v>160</v>
      </c>
      <c r="E36" s="37" t="s">
        <v>161</v>
      </c>
      <c r="F36" s="37" t="s">
        <v>162</v>
      </c>
      <c r="G36" s="37" t="s">
        <v>162</v>
      </c>
      <c r="H36" s="37" t="s">
        <v>163</v>
      </c>
      <c r="I36" s="37"/>
      <c r="J36" s="37" t="s">
        <v>164</v>
      </c>
      <c r="K36" s="37" t="s">
        <v>162</v>
      </c>
      <c r="L36" s="37">
        <v>1</v>
      </c>
      <c r="M36" s="37">
        <f t="shared" si="1"/>
        <v>5</v>
      </c>
      <c r="N36" s="37"/>
      <c r="O36" s="37"/>
      <c r="P36" s="52"/>
      <c r="Q36" s="52">
        <f t="shared" si="2"/>
        <v>0</v>
      </c>
      <c r="R36" s="37"/>
      <c r="S36" s="60"/>
    </row>
    <row r="37" spans="1:19">
      <c r="A37" s="2"/>
      <c r="B37" s="38">
        <f t="shared" si="0"/>
        <v>28</v>
      </c>
      <c r="C37" s="39"/>
      <c r="D37" s="40" t="s">
        <v>165</v>
      </c>
      <c r="E37" s="40" t="s">
        <v>166</v>
      </c>
      <c r="F37" s="40" t="s">
        <v>167</v>
      </c>
      <c r="G37" s="40" t="s">
        <v>168</v>
      </c>
      <c r="H37" s="40" t="s">
        <v>169</v>
      </c>
      <c r="I37" s="40"/>
      <c r="J37" s="40"/>
      <c r="K37" s="40" t="s">
        <v>168</v>
      </c>
      <c r="L37" s="40">
        <v>1</v>
      </c>
      <c r="M37" s="40">
        <f t="shared" si="1"/>
        <v>5</v>
      </c>
      <c r="N37" s="40"/>
      <c r="O37" s="40"/>
      <c r="P37" s="53"/>
      <c r="Q37" s="53">
        <f t="shared" si="2"/>
        <v>0</v>
      </c>
      <c r="R37" s="40"/>
      <c r="S37" s="40"/>
    </row>
    <row r="38" ht="24" spans="1:19">
      <c r="A38" s="2"/>
      <c r="B38" s="35">
        <f t="shared" si="0"/>
        <v>29</v>
      </c>
      <c r="C38" s="36" t="s">
        <v>170</v>
      </c>
      <c r="D38" s="37" t="s">
        <v>171</v>
      </c>
      <c r="E38" s="37" t="s">
        <v>172</v>
      </c>
      <c r="F38" s="37" t="s">
        <v>173</v>
      </c>
      <c r="G38" s="37"/>
      <c r="H38" s="37" t="s">
        <v>174</v>
      </c>
      <c r="I38" s="37"/>
      <c r="J38" s="37"/>
      <c r="K38" s="37" t="s">
        <v>175</v>
      </c>
      <c r="L38" s="37">
        <v>1</v>
      </c>
      <c r="M38" s="37">
        <f t="shared" si="1"/>
        <v>5</v>
      </c>
      <c r="N38" s="37"/>
      <c r="O38" s="37"/>
      <c r="P38" s="52"/>
      <c r="Q38" s="52">
        <f t="shared" si="2"/>
        <v>0</v>
      </c>
      <c r="R38" s="37"/>
      <c r="S38" s="60"/>
    </row>
    <row r="39" ht="36" spans="1:19">
      <c r="A39" s="2"/>
      <c r="B39" s="38">
        <f t="shared" si="0"/>
        <v>30</v>
      </c>
      <c r="C39" s="39"/>
      <c r="D39" s="40" t="s">
        <v>176</v>
      </c>
      <c r="E39" s="40" t="s">
        <v>177</v>
      </c>
      <c r="F39" s="40" t="s">
        <v>178</v>
      </c>
      <c r="G39" s="40" t="s">
        <v>179</v>
      </c>
      <c r="H39" s="40" t="s">
        <v>180</v>
      </c>
      <c r="I39" s="40"/>
      <c r="J39" s="40"/>
      <c r="K39" s="40" t="s">
        <v>179</v>
      </c>
      <c r="L39" s="40">
        <v>1</v>
      </c>
      <c r="M39" s="40">
        <f t="shared" si="1"/>
        <v>5</v>
      </c>
      <c r="N39" s="40"/>
      <c r="O39" s="40"/>
      <c r="P39" s="53"/>
      <c r="Q39" s="53">
        <f t="shared" si="2"/>
        <v>0</v>
      </c>
      <c r="R39" s="40"/>
      <c r="S39" s="40"/>
    </row>
    <row r="40" ht="24" spans="1:19">
      <c r="A40" s="2"/>
      <c r="B40" s="35">
        <f t="shared" si="0"/>
        <v>31</v>
      </c>
      <c r="C40" s="36" t="s">
        <v>181</v>
      </c>
      <c r="D40" s="37" t="s">
        <v>182</v>
      </c>
      <c r="E40" s="37" t="s">
        <v>183</v>
      </c>
      <c r="F40" s="37" t="s">
        <v>184</v>
      </c>
      <c r="G40" s="37"/>
      <c r="H40" s="37"/>
      <c r="I40" s="37"/>
      <c r="J40" s="37"/>
      <c r="K40" s="37" t="s">
        <v>185</v>
      </c>
      <c r="L40" s="37">
        <v>1</v>
      </c>
      <c r="M40" s="37">
        <f t="shared" si="1"/>
        <v>5</v>
      </c>
      <c r="N40" s="37"/>
      <c r="O40" s="37"/>
      <c r="P40" s="52"/>
      <c r="Q40" s="52">
        <f t="shared" si="2"/>
        <v>0</v>
      </c>
      <c r="R40" s="37"/>
      <c r="S40" s="60"/>
    </row>
    <row r="41" ht="24.75" spans="1:19">
      <c r="A41" s="2"/>
      <c r="B41" s="38">
        <f t="shared" si="0"/>
        <v>32</v>
      </c>
      <c r="C41" s="39" t="s">
        <v>181</v>
      </c>
      <c r="D41" s="40" t="s">
        <v>186</v>
      </c>
      <c r="E41" s="40" t="s">
        <v>187</v>
      </c>
      <c r="F41" s="40" t="s">
        <v>188</v>
      </c>
      <c r="G41" s="40"/>
      <c r="H41" s="40" t="s">
        <v>189</v>
      </c>
      <c r="I41" s="40"/>
      <c r="J41" s="40"/>
      <c r="K41" s="40" t="s">
        <v>190</v>
      </c>
      <c r="L41" s="40">
        <v>1</v>
      </c>
      <c r="M41" s="40">
        <f t="shared" si="1"/>
        <v>5</v>
      </c>
      <c r="N41" s="40"/>
      <c r="O41" s="40"/>
      <c r="P41" s="53"/>
      <c r="Q41" s="53">
        <f t="shared" si="2"/>
        <v>0</v>
      </c>
      <c r="R41" s="40"/>
      <c r="S41" s="40"/>
    </row>
    <row r="42" ht="19.5" spans="1:19">
      <c r="A42" s="2"/>
      <c r="B42" s="41"/>
      <c r="C42" s="42"/>
      <c r="D42" s="43"/>
      <c r="E42" s="44"/>
      <c r="F42" s="45"/>
      <c r="G42" s="46"/>
      <c r="H42" s="45"/>
      <c r="I42" s="46"/>
      <c r="J42" s="45"/>
      <c r="K42" s="46"/>
      <c r="L42" s="46"/>
      <c r="M42" s="46"/>
      <c r="N42" s="54" t="s">
        <v>191</v>
      </c>
      <c r="O42" s="55"/>
      <c r="P42" s="55"/>
      <c r="Q42" s="61" t="e">
        <f>SUM(#REF!)</f>
        <v>#REF!</v>
      </c>
      <c r="R42" s="62"/>
      <c r="S42" s="63"/>
    </row>
    <row r="43" ht="19.5" spans="1:19">
      <c r="A43" s="2"/>
      <c r="B43" s="47"/>
      <c r="C43" s="48"/>
      <c r="D43" s="49"/>
      <c r="E43" s="50"/>
      <c r="F43" s="50"/>
      <c r="G43" s="50"/>
      <c r="H43" s="50"/>
      <c r="I43" s="50"/>
      <c r="J43" s="50"/>
      <c r="K43" s="50"/>
      <c r="L43" s="50"/>
      <c r="M43" s="50"/>
      <c r="N43" s="54" t="s">
        <v>192</v>
      </c>
      <c r="O43" s="55"/>
      <c r="P43" s="55"/>
      <c r="Q43" s="64" t="e">
        <f>Q42/5</f>
        <v>#REF!</v>
      </c>
      <c r="R43" s="65"/>
      <c r="S43" s="66"/>
    </row>
  </sheetData>
  <mergeCells count="5">
    <mergeCell ref="K1:S1"/>
    <mergeCell ref="N42:P42"/>
    <mergeCell ref="N43:P43"/>
    <mergeCell ref="S3:S8"/>
    <mergeCell ref="R42:S43"/>
  </mergeCell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eSpark</cp:lastModifiedBy>
  <dcterms:created xsi:type="dcterms:W3CDTF">2019-12-12T10:34:00Z</dcterms:created>
  <dcterms:modified xsi:type="dcterms:W3CDTF">2024-03-21T08:43:23Z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05DFF1724CAA468491C3D64BAC386F72_13</vt:lpwstr>
  </property>
  <property fmtid="{D5CDD505-2E9C-101B-9397-08002B2CF9AE}" pid="3" name="KSOProductBuildVer">
    <vt:lpwstr>1033-12.2.0.13489</vt:lpwstr>
  </property>
</Properties>
</file>